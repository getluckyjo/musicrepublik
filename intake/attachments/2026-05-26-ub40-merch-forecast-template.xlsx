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ulienvanwyk/Library/CloudStorage/GoogleDrive-julien@thepopmarket.co.za/Shared drives/The Pop Market/2026/4.UB40/2. Finance/Budgets/"/>
    </mc:Choice>
  </mc:AlternateContent>
  <xr:revisionPtr revIDLastSave="0" documentId="8_{811CED9A-DF77-4E43-B0DA-4350A7CEF1DF}" xr6:coauthVersionLast="47" xr6:coauthVersionMax="47" xr10:uidLastSave="{00000000-0000-0000-0000-000000000000}"/>
  <bookViews>
    <workbookView xWindow="-36900" yWindow="-1260" windowWidth="29400" windowHeight="16580" tabRatio="500" xr2:uid="{00000000-000D-0000-FFFF-FFFF00000000}"/>
  </bookViews>
  <sheets>
    <sheet name="Setup" sheetId="1" r:id="rId1"/>
    <sheet name="Sales per event" sheetId="2" r:id="rId2"/>
    <sheet name="P&amp;L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3" l="1"/>
  <c r="B43" i="3"/>
  <c r="B41" i="3"/>
  <c r="B40" i="3"/>
  <c r="B39" i="3"/>
  <c r="B38" i="3"/>
  <c r="B37" i="3"/>
  <c r="A30" i="3"/>
  <c r="A29" i="3"/>
  <c r="K19" i="3"/>
  <c r="J19" i="3"/>
  <c r="I19" i="3"/>
  <c r="H19" i="3"/>
  <c r="G19" i="3"/>
  <c r="F19" i="3"/>
  <c r="E19" i="3"/>
  <c r="D19" i="3"/>
  <c r="C19" i="3"/>
  <c r="B19" i="3"/>
  <c r="L19" i="3" s="1"/>
  <c r="M19" i="3" s="1"/>
  <c r="K18" i="3"/>
  <c r="J18" i="3"/>
  <c r="I18" i="3"/>
  <c r="H18" i="3"/>
  <c r="G18" i="3"/>
  <c r="F18" i="3"/>
  <c r="E18" i="3"/>
  <c r="D18" i="3"/>
  <c r="C18" i="3"/>
  <c r="B18" i="3"/>
  <c r="L18" i="3" s="1"/>
  <c r="M18" i="3" s="1"/>
  <c r="K17" i="3"/>
  <c r="J17" i="3"/>
  <c r="I17" i="3"/>
  <c r="H17" i="3"/>
  <c r="G17" i="3"/>
  <c r="F17" i="3"/>
  <c r="E17" i="3"/>
  <c r="D17" i="3"/>
  <c r="C17" i="3"/>
  <c r="B17" i="3"/>
  <c r="M3" i="3"/>
  <c r="K3" i="3"/>
  <c r="J3" i="3"/>
  <c r="I3" i="3"/>
  <c r="H3" i="3"/>
  <c r="G3" i="3"/>
  <c r="F3" i="3"/>
  <c r="E3" i="3"/>
  <c r="D3" i="3"/>
  <c r="C3" i="3"/>
  <c r="B3" i="3"/>
  <c r="A2" i="3"/>
  <c r="A1" i="3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S210" i="2"/>
  <c r="Q210" i="2"/>
  <c r="N210" i="2"/>
  <c r="K210" i="2"/>
  <c r="H210" i="2"/>
  <c r="E210" i="2"/>
  <c r="B210" i="2"/>
  <c r="A209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S189" i="2"/>
  <c r="Q189" i="2"/>
  <c r="N189" i="2"/>
  <c r="K189" i="2"/>
  <c r="H189" i="2"/>
  <c r="E189" i="2"/>
  <c r="B189" i="2"/>
  <c r="A188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S168" i="2"/>
  <c r="Q168" i="2"/>
  <c r="N168" i="2"/>
  <c r="K168" i="2"/>
  <c r="H168" i="2"/>
  <c r="E168" i="2"/>
  <c r="B168" i="2"/>
  <c r="A167" i="2"/>
  <c r="A163" i="2"/>
  <c r="A162" i="2"/>
  <c r="A161" i="2"/>
  <c r="Q161" i="2" s="1"/>
  <c r="A160" i="2"/>
  <c r="A159" i="2"/>
  <c r="A158" i="2"/>
  <c r="A157" i="2"/>
  <c r="A156" i="2"/>
  <c r="A155" i="2"/>
  <c r="A154" i="2"/>
  <c r="A153" i="2"/>
  <c r="A152" i="2"/>
  <c r="A151" i="2"/>
  <c r="A150" i="2"/>
  <c r="A149" i="2"/>
  <c r="S147" i="2"/>
  <c r="Q147" i="2"/>
  <c r="N147" i="2"/>
  <c r="K147" i="2"/>
  <c r="H147" i="2"/>
  <c r="E147" i="2"/>
  <c r="B147" i="2"/>
  <c r="A146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S126" i="2"/>
  <c r="Q126" i="2"/>
  <c r="N126" i="2"/>
  <c r="K126" i="2"/>
  <c r="H126" i="2"/>
  <c r="E126" i="2"/>
  <c r="B126" i="2"/>
  <c r="A125" i="2"/>
  <c r="A121" i="2"/>
  <c r="A120" i="2"/>
  <c r="A119" i="2"/>
  <c r="Q119" i="2" s="1"/>
  <c r="A118" i="2"/>
  <c r="A117" i="2"/>
  <c r="A116" i="2"/>
  <c r="A115" i="2"/>
  <c r="A114" i="2"/>
  <c r="A113" i="2"/>
  <c r="A112" i="2"/>
  <c r="A111" i="2"/>
  <c r="A110" i="2"/>
  <c r="A109" i="2"/>
  <c r="A108" i="2"/>
  <c r="A107" i="2"/>
  <c r="S105" i="2"/>
  <c r="Q105" i="2"/>
  <c r="N105" i="2"/>
  <c r="K105" i="2"/>
  <c r="H105" i="2"/>
  <c r="E105" i="2"/>
  <c r="B105" i="2"/>
  <c r="A104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S84" i="2"/>
  <c r="Q84" i="2"/>
  <c r="N84" i="2"/>
  <c r="K84" i="2"/>
  <c r="H84" i="2"/>
  <c r="E84" i="2"/>
  <c r="B84" i="2"/>
  <c r="A83" i="2"/>
  <c r="A79" i="2"/>
  <c r="A78" i="2"/>
  <c r="A77" i="2"/>
  <c r="A76" i="2"/>
  <c r="Q76" i="2" s="1"/>
  <c r="A75" i="2"/>
  <c r="A74" i="2"/>
  <c r="A73" i="2"/>
  <c r="A72" i="2"/>
  <c r="A71" i="2"/>
  <c r="A70" i="2"/>
  <c r="A69" i="2"/>
  <c r="A68" i="2"/>
  <c r="A67" i="2"/>
  <c r="A66" i="2"/>
  <c r="A65" i="2"/>
  <c r="S63" i="2"/>
  <c r="Q63" i="2"/>
  <c r="N63" i="2"/>
  <c r="K63" i="2"/>
  <c r="H63" i="2"/>
  <c r="E63" i="2"/>
  <c r="B63" i="2"/>
  <c r="A62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S42" i="2"/>
  <c r="Q42" i="2"/>
  <c r="N42" i="2"/>
  <c r="K42" i="2"/>
  <c r="H42" i="2"/>
  <c r="E42" i="2"/>
  <c r="B42" i="2"/>
  <c r="A41" i="2"/>
  <c r="A37" i="2"/>
  <c r="A36" i="2"/>
  <c r="A35" i="2"/>
  <c r="Q34" i="2"/>
  <c r="A34" i="2"/>
  <c r="A33" i="2"/>
  <c r="A32" i="2"/>
  <c r="A31" i="2"/>
  <c r="A30" i="2"/>
  <c r="A29" i="2"/>
  <c r="A28" i="2"/>
  <c r="A27" i="2"/>
  <c r="A26" i="2"/>
  <c r="A25" i="2"/>
  <c r="A24" i="2"/>
  <c r="A23" i="2"/>
  <c r="S21" i="2"/>
  <c r="Q21" i="2"/>
  <c r="N21" i="2"/>
  <c r="K21" i="2"/>
  <c r="H21" i="2"/>
  <c r="E21" i="2"/>
  <c r="B21" i="2"/>
  <c r="A20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E41" i="1"/>
  <c r="S40" i="1"/>
  <c r="M40" i="1"/>
  <c r="S39" i="1"/>
  <c r="M39" i="1"/>
  <c r="S38" i="1"/>
  <c r="M38" i="1"/>
  <c r="S37" i="1"/>
  <c r="M37" i="1"/>
  <c r="S36" i="1"/>
  <c r="M36" i="1"/>
  <c r="S35" i="1"/>
  <c r="M35" i="1"/>
  <c r="S34" i="1"/>
  <c r="M34" i="1"/>
  <c r="S33" i="1"/>
  <c r="M33" i="1"/>
  <c r="S32" i="1"/>
  <c r="M32" i="1"/>
  <c r="S31" i="1"/>
  <c r="M31" i="1"/>
  <c r="S30" i="1"/>
  <c r="M30" i="1"/>
  <c r="S29" i="1"/>
  <c r="M29" i="1"/>
  <c r="S28" i="1"/>
  <c r="M28" i="1"/>
  <c r="S27" i="1"/>
  <c r="M27" i="1"/>
  <c r="S26" i="1"/>
  <c r="M26" i="1"/>
  <c r="L20" i="1"/>
  <c r="K20" i="1"/>
  <c r="J20" i="1"/>
  <c r="H20" i="1"/>
  <c r="G20" i="1"/>
  <c r="F20" i="1"/>
  <c r="E20" i="1"/>
  <c r="I19" i="1"/>
  <c r="Q209" i="2" s="1"/>
  <c r="I18" i="1"/>
  <c r="Q188" i="2" s="1"/>
  <c r="E204" i="2" s="1"/>
  <c r="I16" i="1"/>
  <c r="Q167" i="2" s="1"/>
  <c r="I15" i="1"/>
  <c r="Q146" i="2" s="1"/>
  <c r="I14" i="1"/>
  <c r="Q125" i="2" s="1"/>
  <c r="I13" i="1"/>
  <c r="Q104" i="2" s="1"/>
  <c r="I12" i="1"/>
  <c r="Q83" i="2" s="1"/>
  <c r="I11" i="1"/>
  <c r="Q62" i="2" s="1"/>
  <c r="I10" i="1"/>
  <c r="Q41" i="2" s="1"/>
  <c r="I9" i="1"/>
  <c r="Q8" i="1"/>
  <c r="P8" i="1"/>
  <c r="O5" i="1"/>
  <c r="S41" i="1" l="1"/>
  <c r="Q204" i="2"/>
  <c r="D204" i="2"/>
  <c r="C204" i="2"/>
  <c r="B204" i="2"/>
  <c r="L17" i="3"/>
  <c r="M17" i="3" s="1"/>
  <c r="Q226" i="2"/>
  <c r="E226" i="2"/>
  <c r="D226" i="2"/>
  <c r="C226" i="2"/>
  <c r="F226" i="2" s="1"/>
  <c r="B226" i="2"/>
  <c r="Q225" i="2"/>
  <c r="E225" i="2"/>
  <c r="C225" i="2"/>
  <c r="F225" i="2"/>
  <c r="D225" i="2"/>
  <c r="B225" i="2"/>
  <c r="R225" i="2"/>
  <c r="M225" i="2"/>
  <c r="C224" i="2"/>
  <c r="D224" i="2"/>
  <c r="B224" i="2"/>
  <c r="Q224" i="2"/>
  <c r="E224" i="2"/>
  <c r="F224" i="2" s="1"/>
  <c r="E223" i="2"/>
  <c r="Q223" i="2"/>
  <c r="C223" i="2"/>
  <c r="B223" i="2"/>
  <c r="D223" i="2"/>
  <c r="F223" i="2"/>
  <c r="I223" i="2"/>
  <c r="C222" i="2"/>
  <c r="Q222" i="2"/>
  <c r="D222" i="2"/>
  <c r="B222" i="2"/>
  <c r="E222" i="2"/>
  <c r="F222" i="2" s="1"/>
  <c r="C221" i="2"/>
  <c r="E221" i="2"/>
  <c r="F221" i="2"/>
  <c r="H221" i="2"/>
  <c r="L221" i="2"/>
  <c r="I221" i="2"/>
  <c r="Q221" i="2"/>
  <c r="R221" i="2" s="1"/>
  <c r="N221" i="2"/>
  <c r="M221" i="2"/>
  <c r="B221" i="2"/>
  <c r="D221" i="2"/>
  <c r="G221" i="2"/>
  <c r="E220" i="2"/>
  <c r="D220" i="2"/>
  <c r="C220" i="2"/>
  <c r="F220" i="2" s="1"/>
  <c r="B220" i="2"/>
  <c r="Q220" i="2"/>
  <c r="D219" i="2"/>
  <c r="C219" i="2"/>
  <c r="E219" i="2"/>
  <c r="F219" i="2"/>
  <c r="B219" i="2"/>
  <c r="Q219" i="2"/>
  <c r="R219" i="2"/>
  <c r="H219" i="2"/>
  <c r="G219" i="2"/>
  <c r="E218" i="2"/>
  <c r="D218" i="2"/>
  <c r="B218" i="2"/>
  <c r="C218" i="2"/>
  <c r="F218" i="2" s="1"/>
  <c r="Q218" i="2"/>
  <c r="C217" i="2"/>
  <c r="D217" i="2"/>
  <c r="B217" i="2"/>
  <c r="Q217" i="2"/>
  <c r="E217" i="2"/>
  <c r="F217" i="2" s="1"/>
  <c r="B216" i="2"/>
  <c r="D216" i="2"/>
  <c r="Q216" i="2"/>
  <c r="E216" i="2"/>
  <c r="C216" i="2"/>
  <c r="Q215" i="2"/>
  <c r="C215" i="2"/>
  <c r="E215" i="2"/>
  <c r="D215" i="2"/>
  <c r="B215" i="2"/>
  <c r="Q214" i="2"/>
  <c r="E214" i="2"/>
  <c r="C214" i="2"/>
  <c r="D214" i="2"/>
  <c r="B214" i="2"/>
  <c r="Q213" i="2"/>
  <c r="B213" i="2"/>
  <c r="D213" i="2"/>
  <c r="C213" i="2"/>
  <c r="E213" i="2"/>
  <c r="D212" i="2"/>
  <c r="Q212" i="2"/>
  <c r="E212" i="2"/>
  <c r="C212" i="2"/>
  <c r="B212" i="2"/>
  <c r="Q205" i="2"/>
  <c r="E205" i="2"/>
  <c r="C205" i="2"/>
  <c r="F205" i="2" s="1"/>
  <c r="D205" i="2"/>
  <c r="B205" i="2"/>
  <c r="E203" i="2"/>
  <c r="B203" i="2"/>
  <c r="C203" i="2"/>
  <c r="D203" i="2"/>
  <c r="Q203" i="2"/>
  <c r="F203" i="2"/>
  <c r="E202" i="2"/>
  <c r="B202" i="2"/>
  <c r="C202" i="2"/>
  <c r="Q202" i="2"/>
  <c r="D202" i="2"/>
  <c r="F202" i="2"/>
  <c r="E201" i="2"/>
  <c r="D201" i="2"/>
  <c r="C201" i="2"/>
  <c r="B201" i="2"/>
  <c r="Q201" i="2"/>
  <c r="F201" i="2"/>
  <c r="E200" i="2"/>
  <c r="D200" i="2"/>
  <c r="C200" i="2"/>
  <c r="B200" i="2"/>
  <c r="Q200" i="2"/>
  <c r="F200" i="2"/>
  <c r="E199" i="2"/>
  <c r="D199" i="2"/>
  <c r="C199" i="2"/>
  <c r="B199" i="2"/>
  <c r="Q199" i="2"/>
  <c r="F199" i="2"/>
  <c r="E198" i="2"/>
  <c r="D198" i="2"/>
  <c r="C198" i="2"/>
  <c r="B198" i="2"/>
  <c r="Q198" i="2"/>
  <c r="F198" i="2"/>
  <c r="E197" i="2"/>
  <c r="D197" i="2"/>
  <c r="C197" i="2"/>
  <c r="B197" i="2"/>
  <c r="Q197" i="2"/>
  <c r="F197" i="2"/>
  <c r="E196" i="2"/>
  <c r="B196" i="2"/>
  <c r="D196" i="2"/>
  <c r="Q196" i="2"/>
  <c r="C196" i="2"/>
  <c r="F196" i="2" s="1"/>
  <c r="E195" i="2"/>
  <c r="B195" i="2"/>
  <c r="Q195" i="2"/>
  <c r="C195" i="2"/>
  <c r="D195" i="2"/>
  <c r="E194" i="2"/>
  <c r="D194" i="2"/>
  <c r="C194" i="2"/>
  <c r="F194" i="2" s="1"/>
  <c r="B194" i="2"/>
  <c r="Q194" i="2"/>
  <c r="E193" i="2"/>
  <c r="D193" i="2"/>
  <c r="C193" i="2"/>
  <c r="B193" i="2"/>
  <c r="Q193" i="2"/>
  <c r="E192" i="2"/>
  <c r="D192" i="2"/>
  <c r="C192" i="2"/>
  <c r="B192" i="2"/>
  <c r="Q192" i="2"/>
  <c r="E191" i="2"/>
  <c r="D191" i="2"/>
  <c r="C191" i="2"/>
  <c r="B191" i="2"/>
  <c r="Q191" i="2"/>
  <c r="D184" i="2"/>
  <c r="C184" i="2"/>
  <c r="B184" i="2"/>
  <c r="E184" i="2"/>
  <c r="Q184" i="2"/>
  <c r="E183" i="2"/>
  <c r="D183" i="2"/>
  <c r="C183" i="2"/>
  <c r="F183" i="2" s="1"/>
  <c r="B183" i="2"/>
  <c r="Q183" i="2"/>
  <c r="E182" i="2"/>
  <c r="C182" i="2"/>
  <c r="F182" i="2" s="1"/>
  <c r="B182" i="2"/>
  <c r="D182" i="2"/>
  <c r="Q182" i="2"/>
  <c r="Q181" i="2"/>
  <c r="B181" i="2"/>
  <c r="C181" i="2"/>
  <c r="D181" i="2"/>
  <c r="E181" i="2"/>
  <c r="E180" i="2"/>
  <c r="D180" i="2"/>
  <c r="C180" i="2"/>
  <c r="F180" i="2" s="1"/>
  <c r="B180" i="2"/>
  <c r="Q180" i="2"/>
  <c r="E179" i="2"/>
  <c r="D179" i="2"/>
  <c r="C179" i="2"/>
  <c r="F179" i="2" s="1"/>
  <c r="B179" i="2"/>
  <c r="Q179" i="2"/>
  <c r="E178" i="2"/>
  <c r="D178" i="2"/>
  <c r="C178" i="2"/>
  <c r="F178" i="2" s="1"/>
  <c r="B178" i="2"/>
  <c r="Q178" i="2"/>
  <c r="E177" i="2"/>
  <c r="D177" i="2"/>
  <c r="C177" i="2"/>
  <c r="F177" i="2" s="1"/>
  <c r="B177" i="2"/>
  <c r="Q177" i="2"/>
  <c r="E176" i="2"/>
  <c r="D176" i="2"/>
  <c r="C176" i="2"/>
  <c r="F176" i="2" s="1"/>
  <c r="B176" i="2"/>
  <c r="Q176" i="2"/>
  <c r="E175" i="2"/>
  <c r="D175" i="2"/>
  <c r="C175" i="2"/>
  <c r="B175" i="2"/>
  <c r="Q175" i="2"/>
  <c r="Q174" i="2"/>
  <c r="B174" i="2"/>
  <c r="C174" i="2"/>
  <c r="D174" i="2"/>
  <c r="E174" i="2"/>
  <c r="E173" i="2"/>
  <c r="D173" i="2"/>
  <c r="C173" i="2"/>
  <c r="B173" i="2"/>
  <c r="Q173" i="2"/>
  <c r="E172" i="2"/>
  <c r="D172" i="2"/>
  <c r="C172" i="2"/>
  <c r="B172" i="2"/>
  <c r="Q172" i="2"/>
  <c r="C171" i="2"/>
  <c r="B171" i="2"/>
  <c r="Q171" i="2"/>
  <c r="D171" i="2"/>
  <c r="E171" i="2"/>
  <c r="E170" i="2"/>
  <c r="D170" i="2"/>
  <c r="C170" i="2"/>
  <c r="B170" i="2"/>
  <c r="Q170" i="2"/>
  <c r="E163" i="2"/>
  <c r="D163" i="2"/>
  <c r="C163" i="2"/>
  <c r="B163" i="2"/>
  <c r="F163" i="2"/>
  <c r="G163" i="2" s="1"/>
  <c r="Q163" i="2"/>
  <c r="R163" i="2" s="1"/>
  <c r="N163" i="2"/>
  <c r="M163" i="2"/>
  <c r="L163" i="2"/>
  <c r="K163" i="2"/>
  <c r="J163" i="2"/>
  <c r="I163" i="2"/>
  <c r="H163" i="2"/>
  <c r="E162" i="2"/>
  <c r="D162" i="2"/>
  <c r="C162" i="2"/>
  <c r="F162" i="2" s="1"/>
  <c r="B162" i="2"/>
  <c r="Q162" i="2"/>
  <c r="D161" i="2"/>
  <c r="B161" i="2"/>
  <c r="C161" i="2"/>
  <c r="E161" i="2"/>
  <c r="B160" i="2"/>
  <c r="C160" i="2"/>
  <c r="E160" i="2"/>
  <c r="D160" i="2"/>
  <c r="Q160" i="2"/>
  <c r="D159" i="2"/>
  <c r="B159" i="2"/>
  <c r="C159" i="2"/>
  <c r="E159" i="2"/>
  <c r="Q159" i="2"/>
  <c r="B158" i="2"/>
  <c r="C158" i="2"/>
  <c r="D158" i="2"/>
  <c r="E158" i="2"/>
  <c r="Q158" i="2"/>
  <c r="F158" i="2"/>
  <c r="E157" i="2"/>
  <c r="D157" i="2"/>
  <c r="C157" i="2"/>
  <c r="F157" i="2" s="1"/>
  <c r="B157" i="2"/>
  <c r="Q157" i="2"/>
  <c r="E156" i="2"/>
  <c r="D156" i="2"/>
  <c r="C156" i="2"/>
  <c r="F156" i="2" s="1"/>
  <c r="B156" i="2"/>
  <c r="Q156" i="2"/>
  <c r="E155" i="2"/>
  <c r="D155" i="2"/>
  <c r="C155" i="2"/>
  <c r="F155" i="2" s="1"/>
  <c r="B155" i="2"/>
  <c r="Q155" i="2"/>
  <c r="E154" i="2"/>
  <c r="D154" i="2"/>
  <c r="C154" i="2"/>
  <c r="B154" i="2"/>
  <c r="Q154" i="2"/>
  <c r="D153" i="2"/>
  <c r="C153" i="2"/>
  <c r="B153" i="2"/>
  <c r="Q153" i="2"/>
  <c r="E153" i="2"/>
  <c r="F153" i="2" s="1"/>
  <c r="Q152" i="2"/>
  <c r="B152" i="2"/>
  <c r="C152" i="2"/>
  <c r="D152" i="2"/>
  <c r="E152" i="2"/>
  <c r="E151" i="2"/>
  <c r="D151" i="2"/>
  <c r="C151" i="2"/>
  <c r="B151" i="2"/>
  <c r="Q151" i="2"/>
  <c r="E150" i="2"/>
  <c r="D150" i="2"/>
  <c r="C150" i="2"/>
  <c r="B150" i="2"/>
  <c r="Q150" i="2"/>
  <c r="E149" i="2"/>
  <c r="D149" i="2"/>
  <c r="C149" i="2"/>
  <c r="B149" i="2"/>
  <c r="Q149" i="2"/>
  <c r="E142" i="2"/>
  <c r="D142" i="2"/>
  <c r="C142" i="2"/>
  <c r="F142" i="2" s="1"/>
  <c r="B142" i="2"/>
  <c r="Q142" i="2"/>
  <c r="E141" i="2"/>
  <c r="B141" i="2"/>
  <c r="C141" i="2"/>
  <c r="F141" i="2" s="1"/>
  <c r="D141" i="2"/>
  <c r="Q141" i="2"/>
  <c r="E140" i="2"/>
  <c r="D140" i="2"/>
  <c r="C140" i="2"/>
  <c r="B140" i="2"/>
  <c r="Q140" i="2"/>
  <c r="F140" i="2"/>
  <c r="B139" i="2"/>
  <c r="C139" i="2"/>
  <c r="D139" i="2"/>
  <c r="E139" i="2"/>
  <c r="Q139" i="2"/>
  <c r="F139" i="2"/>
  <c r="K139" i="2" s="1"/>
  <c r="J139" i="2"/>
  <c r="I139" i="2"/>
  <c r="E138" i="2"/>
  <c r="D138" i="2"/>
  <c r="C138" i="2"/>
  <c r="F138" i="2" s="1"/>
  <c r="B138" i="2"/>
  <c r="Q138" i="2"/>
  <c r="E137" i="2"/>
  <c r="D137" i="2"/>
  <c r="C137" i="2"/>
  <c r="F137" i="2" s="1"/>
  <c r="B137" i="2"/>
  <c r="Q137" i="2"/>
  <c r="E136" i="2"/>
  <c r="D136" i="2"/>
  <c r="C136" i="2"/>
  <c r="F136" i="2" s="1"/>
  <c r="B136" i="2"/>
  <c r="Q136" i="2"/>
  <c r="E135" i="2"/>
  <c r="D135" i="2"/>
  <c r="C135" i="2"/>
  <c r="F135" i="2" s="1"/>
  <c r="B135" i="2"/>
  <c r="Q135" i="2"/>
  <c r="E134" i="2"/>
  <c r="D134" i="2"/>
  <c r="C134" i="2"/>
  <c r="F134" i="2" s="1"/>
  <c r="B134" i="2"/>
  <c r="Q134" i="2"/>
  <c r="B133" i="2"/>
  <c r="C133" i="2"/>
  <c r="D133" i="2"/>
  <c r="E133" i="2"/>
  <c r="F133" i="2" s="1"/>
  <c r="Q133" i="2"/>
  <c r="E132" i="2"/>
  <c r="D132" i="2"/>
  <c r="C132" i="2"/>
  <c r="B132" i="2"/>
  <c r="Q132" i="2"/>
  <c r="E131" i="2"/>
  <c r="D131" i="2"/>
  <c r="C131" i="2"/>
  <c r="F131" i="2" s="1"/>
  <c r="B131" i="2"/>
  <c r="Q131" i="2"/>
  <c r="E130" i="2"/>
  <c r="D130" i="2"/>
  <c r="C130" i="2"/>
  <c r="B130" i="2"/>
  <c r="Q130" i="2"/>
  <c r="E129" i="2"/>
  <c r="D129" i="2"/>
  <c r="C129" i="2"/>
  <c r="B129" i="2"/>
  <c r="Q129" i="2"/>
  <c r="B128" i="2"/>
  <c r="C128" i="2"/>
  <c r="D128" i="2"/>
  <c r="E128" i="2"/>
  <c r="Q128" i="2"/>
  <c r="E121" i="2"/>
  <c r="B121" i="2"/>
  <c r="C121" i="2"/>
  <c r="F121" i="2" s="1"/>
  <c r="D121" i="2"/>
  <c r="Q121" i="2"/>
  <c r="E120" i="2"/>
  <c r="B120" i="2"/>
  <c r="Q120" i="2"/>
  <c r="C120" i="2"/>
  <c r="D120" i="2"/>
  <c r="F120" i="2"/>
  <c r="E119" i="2"/>
  <c r="D119" i="2"/>
  <c r="C119" i="2"/>
  <c r="F119" i="2" s="1"/>
  <c r="B119" i="2"/>
  <c r="B118" i="2"/>
  <c r="C118" i="2"/>
  <c r="D118" i="2"/>
  <c r="E118" i="2"/>
  <c r="F118" i="2" s="1"/>
  <c r="Q118" i="2"/>
  <c r="E117" i="2"/>
  <c r="D117" i="2"/>
  <c r="C117" i="2"/>
  <c r="F117" i="2" s="1"/>
  <c r="B117" i="2"/>
  <c r="Q117" i="2"/>
  <c r="E116" i="2"/>
  <c r="D116" i="2"/>
  <c r="C116" i="2"/>
  <c r="F116" i="2" s="1"/>
  <c r="B116" i="2"/>
  <c r="Q116" i="2"/>
  <c r="E115" i="2"/>
  <c r="D115" i="2"/>
  <c r="C115" i="2"/>
  <c r="F115" i="2" s="1"/>
  <c r="B115" i="2"/>
  <c r="Q115" i="2"/>
  <c r="E114" i="2"/>
  <c r="D114" i="2"/>
  <c r="C114" i="2"/>
  <c r="F114" i="2" s="1"/>
  <c r="B114" i="2"/>
  <c r="Q114" i="2"/>
  <c r="Q113" i="2"/>
  <c r="B113" i="2"/>
  <c r="C113" i="2"/>
  <c r="D113" i="2"/>
  <c r="E113" i="2"/>
  <c r="F113" i="2"/>
  <c r="I113" i="2" s="1"/>
  <c r="H113" i="2"/>
  <c r="G113" i="2"/>
  <c r="N113" i="2"/>
  <c r="M113" i="2"/>
  <c r="L113" i="2"/>
  <c r="K113" i="2"/>
  <c r="J113" i="2"/>
  <c r="E112" i="2"/>
  <c r="D112" i="2"/>
  <c r="C112" i="2"/>
  <c r="B112" i="2"/>
  <c r="Q112" i="2"/>
  <c r="E111" i="2"/>
  <c r="D111" i="2"/>
  <c r="C111" i="2"/>
  <c r="F111" i="2" s="1"/>
  <c r="B111" i="2"/>
  <c r="Q111" i="2"/>
  <c r="E110" i="2"/>
  <c r="D110" i="2"/>
  <c r="C110" i="2"/>
  <c r="B110" i="2"/>
  <c r="Q110" i="2"/>
  <c r="E109" i="2"/>
  <c r="D109" i="2"/>
  <c r="C109" i="2"/>
  <c r="B109" i="2"/>
  <c r="Q109" i="2"/>
  <c r="B108" i="2"/>
  <c r="C108" i="2"/>
  <c r="D108" i="2"/>
  <c r="E108" i="2"/>
  <c r="Q108" i="2"/>
  <c r="E107" i="2"/>
  <c r="D107" i="2"/>
  <c r="C107" i="2"/>
  <c r="B107" i="2"/>
  <c r="Q107" i="2"/>
  <c r="B100" i="2"/>
  <c r="C100" i="2"/>
  <c r="D100" i="2"/>
  <c r="E100" i="2"/>
  <c r="F100" i="2" s="1"/>
  <c r="Q100" i="2"/>
  <c r="E99" i="2"/>
  <c r="D99" i="2"/>
  <c r="C99" i="2"/>
  <c r="B99" i="2"/>
  <c r="Q99" i="2"/>
  <c r="E98" i="2"/>
  <c r="D98" i="2"/>
  <c r="C98" i="2"/>
  <c r="B98" i="2"/>
  <c r="Q98" i="2"/>
  <c r="E97" i="2"/>
  <c r="D97" i="2"/>
  <c r="C97" i="2"/>
  <c r="B97" i="2"/>
  <c r="Q97" i="2"/>
  <c r="E96" i="2"/>
  <c r="D96" i="2"/>
  <c r="C96" i="2"/>
  <c r="B96" i="2"/>
  <c r="Q96" i="2"/>
  <c r="B95" i="2"/>
  <c r="C95" i="2"/>
  <c r="D95" i="2"/>
  <c r="E95" i="2"/>
  <c r="F95" i="2" s="1"/>
  <c r="Q95" i="2"/>
  <c r="E94" i="2"/>
  <c r="D94" i="2"/>
  <c r="C94" i="2"/>
  <c r="B94" i="2"/>
  <c r="Q94" i="2"/>
  <c r="E93" i="2"/>
  <c r="D93" i="2"/>
  <c r="C93" i="2"/>
  <c r="F93" i="2" s="1"/>
  <c r="B93" i="2"/>
  <c r="Q93" i="2"/>
  <c r="E92" i="2"/>
  <c r="D92" i="2"/>
  <c r="C92" i="2"/>
  <c r="B92" i="2"/>
  <c r="Q92" i="2"/>
  <c r="D91" i="2"/>
  <c r="E91" i="2" s="1"/>
  <c r="C91" i="2"/>
  <c r="B91" i="2"/>
  <c r="Q91" i="2"/>
  <c r="B90" i="2"/>
  <c r="C90" i="2"/>
  <c r="D90" i="2"/>
  <c r="Q90" i="2"/>
  <c r="B89" i="2"/>
  <c r="C89" i="2"/>
  <c r="D89" i="2"/>
  <c r="Q89" i="2"/>
  <c r="D88" i="2"/>
  <c r="C88" i="2"/>
  <c r="B88" i="2"/>
  <c r="Q88" i="2"/>
  <c r="B87" i="2"/>
  <c r="C87" i="2"/>
  <c r="D87" i="2"/>
  <c r="E87" i="2"/>
  <c r="Q87" i="2"/>
  <c r="B86" i="2"/>
  <c r="C86" i="2"/>
  <c r="D86" i="2"/>
  <c r="Q86" i="2"/>
  <c r="E79" i="2"/>
  <c r="D79" i="2"/>
  <c r="C79" i="2"/>
  <c r="B79" i="2"/>
  <c r="Q79" i="2"/>
  <c r="B78" i="2"/>
  <c r="C78" i="2"/>
  <c r="D78" i="2"/>
  <c r="E78" i="2"/>
  <c r="F78" i="2" s="1"/>
  <c r="Q78" i="2"/>
  <c r="B77" i="2"/>
  <c r="C77" i="2"/>
  <c r="D77" i="2"/>
  <c r="E77" i="2"/>
  <c r="F77" i="2" s="1"/>
  <c r="Q77" i="2"/>
  <c r="E76" i="2"/>
  <c r="D76" i="2"/>
  <c r="C76" i="2"/>
  <c r="F76" i="2" s="1"/>
  <c r="B76" i="2"/>
  <c r="Q75" i="2"/>
  <c r="E75" i="2"/>
  <c r="D75" i="2"/>
  <c r="C75" i="2"/>
  <c r="F75" i="2" s="1"/>
  <c r="B75" i="2"/>
  <c r="Q74" i="2"/>
  <c r="E74" i="2"/>
  <c r="D74" i="2"/>
  <c r="C74" i="2"/>
  <c r="F74" i="2" s="1"/>
  <c r="B74" i="2"/>
  <c r="Q73" i="2"/>
  <c r="E73" i="2"/>
  <c r="D73" i="2"/>
  <c r="C73" i="2"/>
  <c r="F73" i="2" s="1"/>
  <c r="B73" i="2"/>
  <c r="B72" i="2"/>
  <c r="Q72" i="2"/>
  <c r="E72" i="2"/>
  <c r="C72" i="2"/>
  <c r="F72" i="2" s="1"/>
  <c r="D72" i="2"/>
  <c r="Q71" i="2"/>
  <c r="E71" i="2"/>
  <c r="D71" i="2"/>
  <c r="C71" i="2"/>
  <c r="B71" i="2"/>
  <c r="D70" i="2"/>
  <c r="E70" i="2" s="1"/>
  <c r="C70" i="2"/>
  <c r="B70" i="2"/>
  <c r="Q70" i="2"/>
  <c r="Q69" i="2"/>
  <c r="D69" i="2"/>
  <c r="E69" i="2" s="1"/>
  <c r="C69" i="2"/>
  <c r="B69" i="2"/>
  <c r="Q68" i="2"/>
  <c r="D68" i="2"/>
  <c r="E68" i="2" s="1"/>
  <c r="C68" i="2"/>
  <c r="B68" i="2"/>
  <c r="Q67" i="2"/>
  <c r="B67" i="2"/>
  <c r="C67" i="2"/>
  <c r="D67" i="2"/>
  <c r="C66" i="2"/>
  <c r="D66" i="2"/>
  <c r="Q66" i="2"/>
  <c r="B66" i="2"/>
  <c r="C65" i="2"/>
  <c r="B65" i="2"/>
  <c r="D65" i="2"/>
  <c r="E65" i="2" s="1"/>
  <c r="Q65" i="2"/>
  <c r="C58" i="2"/>
  <c r="Q58" i="2"/>
  <c r="E58" i="2"/>
  <c r="F58" i="2" s="1"/>
  <c r="D58" i="2"/>
  <c r="B58" i="2"/>
  <c r="Q57" i="2"/>
  <c r="B57" i="2"/>
  <c r="C57" i="2"/>
  <c r="D57" i="2"/>
  <c r="E57" i="2"/>
  <c r="F57" i="2" s="1"/>
  <c r="Q56" i="2"/>
  <c r="E56" i="2"/>
  <c r="D56" i="2"/>
  <c r="C56" i="2"/>
  <c r="B56" i="2"/>
  <c r="Q55" i="2"/>
  <c r="B55" i="2"/>
  <c r="C55" i="2"/>
  <c r="D55" i="2"/>
  <c r="E55" i="2"/>
  <c r="F55" i="2" s="1"/>
  <c r="C54" i="2"/>
  <c r="E54" i="2"/>
  <c r="F54" i="2" s="1"/>
  <c r="B54" i="2"/>
  <c r="Q54" i="2"/>
  <c r="D54" i="2"/>
  <c r="C53" i="2"/>
  <c r="B53" i="2"/>
  <c r="Q53" i="2"/>
  <c r="D53" i="2"/>
  <c r="E53" i="2"/>
  <c r="F53" i="2" s="1"/>
  <c r="C52" i="2"/>
  <c r="B52" i="2"/>
  <c r="D52" i="2"/>
  <c r="E52" i="2"/>
  <c r="F52" i="2" s="1"/>
  <c r="Q52" i="2"/>
  <c r="Q51" i="2"/>
  <c r="C51" i="2"/>
  <c r="D51" i="2"/>
  <c r="E51" i="2"/>
  <c r="F51" i="2" s="1"/>
  <c r="B51" i="2"/>
  <c r="B50" i="2"/>
  <c r="Q50" i="2"/>
  <c r="E50" i="2"/>
  <c r="D50" i="2"/>
  <c r="C50" i="2"/>
  <c r="Q49" i="2"/>
  <c r="D49" i="2"/>
  <c r="E49" i="2" s="1"/>
  <c r="C49" i="2"/>
  <c r="B49" i="2"/>
  <c r="Q48" i="2"/>
  <c r="D48" i="2"/>
  <c r="E48" i="2" s="1"/>
  <c r="C48" i="2"/>
  <c r="B48" i="2"/>
  <c r="Q47" i="2"/>
  <c r="D47" i="2"/>
  <c r="E47" i="2" s="1"/>
  <c r="C47" i="2"/>
  <c r="B47" i="2"/>
  <c r="Q46" i="2"/>
  <c r="D46" i="2"/>
  <c r="E46" i="2" s="1"/>
  <c r="C46" i="2"/>
  <c r="B46" i="2"/>
  <c r="C45" i="2"/>
  <c r="D45" i="2"/>
  <c r="E45" i="2" s="1"/>
  <c r="Q45" i="2"/>
  <c r="B45" i="2"/>
  <c r="Q44" i="2"/>
  <c r="D44" i="2"/>
  <c r="E44" i="2" s="1"/>
  <c r="C44" i="2"/>
  <c r="B44" i="2"/>
  <c r="D37" i="2"/>
  <c r="B37" i="2"/>
  <c r="C37" i="2"/>
  <c r="Q37" i="2"/>
  <c r="D36" i="2"/>
  <c r="B36" i="2"/>
  <c r="Q36" i="2"/>
  <c r="C36" i="2"/>
  <c r="Q35" i="2"/>
  <c r="D35" i="2"/>
  <c r="C35" i="2"/>
  <c r="B35" i="2"/>
  <c r="D34" i="2"/>
  <c r="C34" i="2"/>
  <c r="B34" i="2"/>
  <c r="B33" i="2"/>
  <c r="C33" i="2"/>
  <c r="D33" i="2"/>
  <c r="Q33" i="2"/>
  <c r="C32" i="2"/>
  <c r="D32" i="2"/>
  <c r="Q32" i="2"/>
  <c r="B32" i="2"/>
  <c r="D31" i="2"/>
  <c r="C31" i="2"/>
  <c r="B31" i="2"/>
  <c r="Q31" i="2"/>
  <c r="Q30" i="2"/>
  <c r="D30" i="2"/>
  <c r="C30" i="2"/>
  <c r="B30" i="2"/>
  <c r="Q29" i="2"/>
  <c r="D29" i="2"/>
  <c r="C29" i="2"/>
  <c r="B29" i="2"/>
  <c r="Q28" i="2"/>
  <c r="D28" i="2"/>
  <c r="C28" i="2"/>
  <c r="B28" i="2"/>
  <c r="Q27" i="2"/>
  <c r="D27" i="2"/>
  <c r="C27" i="2"/>
  <c r="B27" i="2"/>
  <c r="Q26" i="2"/>
  <c r="D26" i="2"/>
  <c r="C26" i="2"/>
  <c r="B26" i="2"/>
  <c r="B25" i="2"/>
  <c r="C25" i="2"/>
  <c r="D25" i="2"/>
  <c r="Q25" i="2"/>
  <c r="C24" i="2"/>
  <c r="B24" i="2"/>
  <c r="D24" i="2"/>
  <c r="Q24" i="2"/>
  <c r="B23" i="2"/>
  <c r="C23" i="2"/>
  <c r="D23" i="2"/>
  <c r="Q23" i="2"/>
  <c r="B17" i="2"/>
  <c r="S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O16" i="2"/>
  <c r="N16" i="2"/>
  <c r="Q16" i="2"/>
  <c r="S16" i="2"/>
  <c r="R16" i="2"/>
  <c r="B16" i="2"/>
  <c r="C16" i="2"/>
  <c r="D16" i="2"/>
  <c r="E16" i="2"/>
  <c r="F16" i="2"/>
  <c r="G16" i="2"/>
  <c r="H16" i="2"/>
  <c r="I16" i="2"/>
  <c r="J16" i="2"/>
  <c r="K16" i="2"/>
  <c r="L16" i="2"/>
  <c r="M16" i="2"/>
  <c r="P16" i="2"/>
  <c r="B15" i="2"/>
  <c r="C15" i="2"/>
  <c r="D15" i="2"/>
  <c r="E15" i="2"/>
  <c r="F15" i="2"/>
  <c r="G15" i="2"/>
  <c r="H15" i="2"/>
  <c r="I15" i="2"/>
  <c r="J15" i="2"/>
  <c r="K15" i="2"/>
  <c r="L15" i="2"/>
  <c r="M15" i="2"/>
  <c r="S15" i="2"/>
  <c r="R15" i="2"/>
  <c r="N15" i="2"/>
  <c r="Q15" i="2"/>
  <c r="O15" i="2"/>
  <c r="P15" i="2"/>
  <c r="H14" i="2"/>
  <c r="S14" i="2"/>
  <c r="K14" i="2"/>
  <c r="L14" i="2"/>
  <c r="M14" i="2"/>
  <c r="N14" i="2"/>
  <c r="O14" i="2"/>
  <c r="P14" i="2"/>
  <c r="B14" i="2"/>
  <c r="C14" i="2"/>
  <c r="D14" i="2"/>
  <c r="E14" i="2"/>
  <c r="F14" i="2"/>
  <c r="G14" i="2"/>
  <c r="Q14" i="2"/>
  <c r="I14" i="2"/>
  <c r="R14" i="2"/>
  <c r="J14" i="2"/>
  <c r="J13" i="2"/>
  <c r="D13" i="2"/>
  <c r="B13" i="2"/>
  <c r="C13" i="2"/>
  <c r="E13" i="2"/>
  <c r="G13" i="2"/>
  <c r="I13" i="2"/>
  <c r="K13" i="2"/>
  <c r="M13" i="2"/>
  <c r="O13" i="2"/>
  <c r="P13" i="2"/>
  <c r="Q13" i="2"/>
  <c r="R13" i="2"/>
  <c r="S13" i="2"/>
  <c r="L13" i="2"/>
  <c r="H13" i="2"/>
  <c r="F13" i="2"/>
  <c r="N13" i="2"/>
  <c r="I12" i="2"/>
  <c r="R12" i="2"/>
  <c r="S12" i="2"/>
  <c r="P12" i="2"/>
  <c r="N12" i="2"/>
  <c r="L12" i="2"/>
  <c r="Q12" i="2"/>
  <c r="B12" i="2"/>
  <c r="D12" i="2"/>
  <c r="F12" i="2"/>
  <c r="M12" i="2"/>
  <c r="O12" i="2"/>
  <c r="C12" i="2"/>
  <c r="E12" i="2"/>
  <c r="G12" i="2"/>
  <c r="H12" i="2"/>
  <c r="K12" i="2"/>
  <c r="J12" i="2"/>
  <c r="H11" i="2"/>
  <c r="N11" i="2"/>
  <c r="F11" i="2"/>
  <c r="C11" i="2"/>
  <c r="E11" i="2"/>
  <c r="S11" i="2"/>
  <c r="Q11" i="2"/>
  <c r="O11" i="2"/>
  <c r="M11" i="2"/>
  <c r="K11" i="2"/>
  <c r="G11" i="2"/>
  <c r="J11" i="2"/>
  <c r="L11" i="2"/>
  <c r="B11" i="2"/>
  <c r="D11" i="2"/>
  <c r="R11" i="2"/>
  <c r="P11" i="2"/>
  <c r="I11" i="2"/>
  <c r="S10" i="2"/>
  <c r="R10" i="2"/>
  <c r="Q10" i="2"/>
  <c r="O10" i="2"/>
  <c r="M10" i="2"/>
  <c r="P10" i="2"/>
  <c r="N10" i="2"/>
  <c r="L10" i="2"/>
  <c r="J10" i="2"/>
  <c r="D10" i="2"/>
  <c r="H10" i="2"/>
  <c r="G10" i="2"/>
  <c r="F10" i="2"/>
  <c r="E10" i="2"/>
  <c r="C10" i="2"/>
  <c r="K10" i="2"/>
  <c r="B10" i="2"/>
  <c r="I10" i="2"/>
  <c r="P9" i="2"/>
  <c r="G9" i="2"/>
  <c r="I9" i="2"/>
  <c r="K9" i="2"/>
  <c r="M9" i="2"/>
  <c r="Q9" i="2"/>
  <c r="E9" i="2"/>
  <c r="R9" i="2"/>
  <c r="O9" i="2"/>
  <c r="S9" i="2"/>
  <c r="J9" i="2"/>
  <c r="N9" i="2"/>
  <c r="L9" i="2"/>
  <c r="H9" i="2"/>
  <c r="D9" i="2"/>
  <c r="F9" i="2"/>
  <c r="B9" i="2"/>
  <c r="C9" i="2"/>
  <c r="Q8" i="2"/>
  <c r="C8" i="2"/>
  <c r="B8" i="2"/>
  <c r="D8" i="2"/>
  <c r="C7" i="2"/>
  <c r="D7" i="2"/>
  <c r="B7" i="2"/>
  <c r="Q7" i="2"/>
  <c r="B6" i="2"/>
  <c r="D6" i="2"/>
  <c r="Q6" i="2"/>
  <c r="C6" i="2"/>
  <c r="C5" i="2"/>
  <c r="D5" i="2"/>
  <c r="B5" i="2"/>
  <c r="Q5" i="2"/>
  <c r="Q4" i="2"/>
  <c r="C4" i="2"/>
  <c r="B4" i="2"/>
  <c r="D4" i="2"/>
  <c r="B3" i="2"/>
  <c r="Q3" i="2"/>
  <c r="D3" i="2"/>
  <c r="C3" i="2"/>
  <c r="I20" i="1"/>
  <c r="B42" i="3"/>
  <c r="Q20" i="2"/>
  <c r="F204" i="2"/>
  <c r="F108" i="2" l="1"/>
  <c r="F193" i="2"/>
  <c r="F175" i="2"/>
  <c r="F154" i="2"/>
  <c r="E90" i="2"/>
  <c r="F90" i="2" s="1"/>
  <c r="F151" i="2"/>
  <c r="F110" i="2"/>
  <c r="F170" i="2"/>
  <c r="F149" i="2"/>
  <c r="E67" i="2"/>
  <c r="F129" i="2"/>
  <c r="E66" i="2"/>
  <c r="F112" i="2"/>
  <c r="F70" i="2"/>
  <c r="F152" i="2"/>
  <c r="F192" i="2"/>
  <c r="L108" i="2"/>
  <c r="N108" i="2"/>
  <c r="K108" i="2"/>
  <c r="J108" i="2"/>
  <c r="M108" i="2"/>
  <c r="F214" i="2"/>
  <c r="R108" i="2"/>
  <c r="F92" i="2"/>
  <c r="F71" i="2"/>
  <c r="F56" i="2"/>
  <c r="F50" i="2"/>
  <c r="E35" i="2"/>
  <c r="E37" i="2"/>
  <c r="E33" i="2"/>
  <c r="F33" i="2" s="1"/>
  <c r="E36" i="2"/>
  <c r="E34" i="2"/>
  <c r="F172" i="2"/>
  <c r="F130" i="2"/>
  <c r="F109" i="2"/>
  <c r="E88" i="2"/>
  <c r="F67" i="2"/>
  <c r="F213" i="2"/>
  <c r="F150" i="2"/>
  <c r="F171" i="2"/>
  <c r="E86" i="2"/>
  <c r="F86" i="2" s="1"/>
  <c r="F212" i="2"/>
  <c r="F191" i="2"/>
  <c r="F107" i="2"/>
  <c r="F216" i="2"/>
  <c r="E227" i="2"/>
  <c r="F195" i="2"/>
  <c r="F174" i="2"/>
  <c r="E185" i="2"/>
  <c r="F132" i="2"/>
  <c r="F215" i="2"/>
  <c r="F173" i="2"/>
  <c r="E89" i="2"/>
  <c r="F45" i="2"/>
  <c r="F184" i="2"/>
  <c r="F181" i="2"/>
  <c r="F161" i="2"/>
  <c r="F160" i="2"/>
  <c r="F159" i="2"/>
  <c r="R113" i="2"/>
  <c r="E59" i="2"/>
  <c r="F96" i="2"/>
  <c r="F98" i="2"/>
  <c r="F97" i="2"/>
  <c r="F94" i="2"/>
  <c r="F99" i="2"/>
  <c r="F91" i="2"/>
  <c r="F87" i="2"/>
  <c r="L100" i="2"/>
  <c r="N100" i="2"/>
  <c r="H100" i="2"/>
  <c r="R100" i="2"/>
  <c r="G100" i="2"/>
  <c r="K100" i="2"/>
  <c r="M100" i="2"/>
  <c r="L95" i="2"/>
  <c r="N95" i="2"/>
  <c r="K95" i="2"/>
  <c r="I95" i="2"/>
  <c r="H95" i="2"/>
  <c r="M95" i="2"/>
  <c r="G95" i="2"/>
  <c r="F79" i="2"/>
  <c r="F37" i="2"/>
  <c r="F36" i="2"/>
  <c r="F34" i="2"/>
  <c r="M161" i="2"/>
  <c r="N161" i="2"/>
  <c r="R161" i="2"/>
  <c r="G119" i="2"/>
  <c r="H119" i="2"/>
  <c r="I119" i="2"/>
  <c r="J119" i="2"/>
  <c r="K119" i="2"/>
  <c r="L119" i="2"/>
  <c r="M119" i="2"/>
  <c r="N119" i="2"/>
  <c r="R119" i="2"/>
  <c r="J34" i="2"/>
  <c r="L34" i="2"/>
  <c r="K34" i="2"/>
  <c r="M34" i="2"/>
  <c r="N34" i="2"/>
  <c r="R34" i="2"/>
  <c r="N204" i="2"/>
  <c r="M204" i="2"/>
  <c r="K204" i="2"/>
  <c r="I204" i="2"/>
  <c r="G204" i="2"/>
  <c r="R204" i="2"/>
  <c r="L204" i="2"/>
  <c r="J204" i="2"/>
  <c r="H204" i="2"/>
  <c r="E206" i="2"/>
  <c r="E164" i="2"/>
  <c r="E122" i="2"/>
  <c r="G226" i="2"/>
  <c r="H226" i="2"/>
  <c r="I226" i="2"/>
  <c r="L226" i="2"/>
  <c r="J226" i="2"/>
  <c r="K226" i="2"/>
  <c r="M226" i="2"/>
  <c r="N226" i="2"/>
  <c r="R226" i="2"/>
  <c r="K225" i="2"/>
  <c r="N225" i="2"/>
  <c r="I225" i="2"/>
  <c r="G225" i="2"/>
  <c r="L225" i="2"/>
  <c r="J225" i="2"/>
  <c r="H225" i="2"/>
  <c r="H224" i="2"/>
  <c r="J224" i="2"/>
  <c r="L224" i="2"/>
  <c r="N224" i="2"/>
  <c r="R224" i="2"/>
  <c r="G224" i="2"/>
  <c r="I224" i="2"/>
  <c r="K224" i="2"/>
  <c r="M224" i="2"/>
  <c r="H223" i="2"/>
  <c r="R223" i="2"/>
  <c r="N223" i="2"/>
  <c r="L223" i="2"/>
  <c r="K223" i="2"/>
  <c r="G223" i="2"/>
  <c r="M223" i="2"/>
  <c r="J223" i="2"/>
  <c r="H222" i="2"/>
  <c r="I222" i="2"/>
  <c r="K222" i="2"/>
  <c r="M222" i="2"/>
  <c r="N222" i="2"/>
  <c r="L222" i="2"/>
  <c r="J222" i="2"/>
  <c r="G222" i="2"/>
  <c r="R222" i="2"/>
  <c r="J221" i="2"/>
  <c r="K221" i="2"/>
  <c r="P221" i="2"/>
  <c r="S221" i="2" s="1"/>
  <c r="O221" i="2"/>
  <c r="H220" i="2"/>
  <c r="J220" i="2"/>
  <c r="K220" i="2"/>
  <c r="N220" i="2"/>
  <c r="R220" i="2"/>
  <c r="M220" i="2"/>
  <c r="I220" i="2"/>
  <c r="G220" i="2"/>
  <c r="L220" i="2"/>
  <c r="I219" i="2"/>
  <c r="J219" i="2"/>
  <c r="K219" i="2"/>
  <c r="L219" i="2"/>
  <c r="M219" i="2"/>
  <c r="N219" i="2"/>
  <c r="R218" i="2"/>
  <c r="N218" i="2"/>
  <c r="G218" i="2"/>
  <c r="H218" i="2"/>
  <c r="I218" i="2"/>
  <c r="J218" i="2"/>
  <c r="K218" i="2"/>
  <c r="L218" i="2"/>
  <c r="M218" i="2"/>
  <c r="H217" i="2"/>
  <c r="I217" i="2"/>
  <c r="L217" i="2"/>
  <c r="J217" i="2"/>
  <c r="G217" i="2"/>
  <c r="K217" i="2"/>
  <c r="M217" i="2"/>
  <c r="R217" i="2"/>
  <c r="N217" i="2"/>
  <c r="M205" i="2"/>
  <c r="R205" i="2"/>
  <c r="J205" i="2"/>
  <c r="H205" i="2"/>
  <c r="G205" i="2"/>
  <c r="I205" i="2"/>
  <c r="K205" i="2"/>
  <c r="L205" i="2"/>
  <c r="N205" i="2"/>
  <c r="G203" i="2"/>
  <c r="N203" i="2"/>
  <c r="M203" i="2"/>
  <c r="L203" i="2"/>
  <c r="K203" i="2"/>
  <c r="J203" i="2"/>
  <c r="I203" i="2"/>
  <c r="H203" i="2"/>
  <c r="R203" i="2"/>
  <c r="J202" i="2"/>
  <c r="R202" i="2"/>
  <c r="N202" i="2"/>
  <c r="L202" i="2"/>
  <c r="K202" i="2"/>
  <c r="M202" i="2"/>
  <c r="I202" i="2"/>
  <c r="H202" i="2"/>
  <c r="G202" i="2"/>
  <c r="R201" i="2"/>
  <c r="N201" i="2"/>
  <c r="M201" i="2"/>
  <c r="L201" i="2"/>
  <c r="K201" i="2"/>
  <c r="J201" i="2"/>
  <c r="I201" i="2"/>
  <c r="H201" i="2"/>
  <c r="G201" i="2"/>
  <c r="I200" i="2"/>
  <c r="N200" i="2"/>
  <c r="M200" i="2"/>
  <c r="L200" i="2"/>
  <c r="K200" i="2"/>
  <c r="J200" i="2"/>
  <c r="R200" i="2"/>
  <c r="H200" i="2"/>
  <c r="G200" i="2"/>
  <c r="R199" i="2"/>
  <c r="N199" i="2"/>
  <c r="M199" i="2"/>
  <c r="L199" i="2"/>
  <c r="K199" i="2"/>
  <c r="J199" i="2"/>
  <c r="I199" i="2"/>
  <c r="H199" i="2"/>
  <c r="G199" i="2"/>
  <c r="N198" i="2"/>
  <c r="R198" i="2"/>
  <c r="M198" i="2"/>
  <c r="L198" i="2"/>
  <c r="K198" i="2"/>
  <c r="J198" i="2"/>
  <c r="I198" i="2"/>
  <c r="H198" i="2"/>
  <c r="G198" i="2"/>
  <c r="R197" i="2"/>
  <c r="N197" i="2"/>
  <c r="M197" i="2"/>
  <c r="L197" i="2"/>
  <c r="K197" i="2"/>
  <c r="J197" i="2"/>
  <c r="I197" i="2"/>
  <c r="H197" i="2"/>
  <c r="G197" i="2"/>
  <c r="G196" i="2"/>
  <c r="H196" i="2"/>
  <c r="I196" i="2"/>
  <c r="J196" i="2"/>
  <c r="K196" i="2"/>
  <c r="L196" i="2"/>
  <c r="M196" i="2"/>
  <c r="N196" i="2"/>
  <c r="R196" i="2"/>
  <c r="G194" i="2"/>
  <c r="H194" i="2"/>
  <c r="I194" i="2"/>
  <c r="J194" i="2"/>
  <c r="K194" i="2"/>
  <c r="L194" i="2"/>
  <c r="M194" i="2"/>
  <c r="N194" i="2"/>
  <c r="R194" i="2"/>
  <c r="G184" i="2"/>
  <c r="H184" i="2"/>
  <c r="I184" i="2"/>
  <c r="J184" i="2"/>
  <c r="K184" i="2"/>
  <c r="L184" i="2"/>
  <c r="M184" i="2"/>
  <c r="N184" i="2"/>
  <c r="R184" i="2"/>
  <c r="G183" i="2"/>
  <c r="H183" i="2"/>
  <c r="I183" i="2"/>
  <c r="J183" i="2"/>
  <c r="K183" i="2"/>
  <c r="L183" i="2"/>
  <c r="M183" i="2"/>
  <c r="N183" i="2"/>
  <c r="R183" i="2"/>
  <c r="G182" i="2"/>
  <c r="H182" i="2"/>
  <c r="I182" i="2"/>
  <c r="J182" i="2"/>
  <c r="K182" i="2"/>
  <c r="L182" i="2"/>
  <c r="M182" i="2"/>
  <c r="N182" i="2"/>
  <c r="R182" i="2"/>
  <c r="G181" i="2"/>
  <c r="I181" i="2"/>
  <c r="K181" i="2"/>
  <c r="L181" i="2"/>
  <c r="M181" i="2"/>
  <c r="N181" i="2"/>
  <c r="R181" i="2"/>
  <c r="J181" i="2"/>
  <c r="H181" i="2"/>
  <c r="G180" i="2"/>
  <c r="H180" i="2"/>
  <c r="I180" i="2"/>
  <c r="J180" i="2"/>
  <c r="K180" i="2"/>
  <c r="L180" i="2"/>
  <c r="M180" i="2"/>
  <c r="N180" i="2"/>
  <c r="R180" i="2"/>
  <c r="G179" i="2"/>
  <c r="H179" i="2"/>
  <c r="I179" i="2"/>
  <c r="J179" i="2"/>
  <c r="K179" i="2"/>
  <c r="L179" i="2"/>
  <c r="M179" i="2"/>
  <c r="N179" i="2"/>
  <c r="R179" i="2"/>
  <c r="G178" i="2"/>
  <c r="H178" i="2"/>
  <c r="I178" i="2"/>
  <c r="J178" i="2"/>
  <c r="K178" i="2"/>
  <c r="L178" i="2"/>
  <c r="M178" i="2"/>
  <c r="N178" i="2"/>
  <c r="R178" i="2"/>
  <c r="G177" i="2"/>
  <c r="H177" i="2"/>
  <c r="I177" i="2"/>
  <c r="J177" i="2"/>
  <c r="K177" i="2"/>
  <c r="L177" i="2"/>
  <c r="M177" i="2"/>
  <c r="N177" i="2"/>
  <c r="R177" i="2"/>
  <c r="G176" i="2"/>
  <c r="H176" i="2"/>
  <c r="I176" i="2"/>
  <c r="J176" i="2"/>
  <c r="K176" i="2"/>
  <c r="L176" i="2"/>
  <c r="M176" i="2"/>
  <c r="N176" i="2"/>
  <c r="R176" i="2"/>
  <c r="G175" i="2"/>
  <c r="H175" i="2"/>
  <c r="I175" i="2"/>
  <c r="J175" i="2"/>
  <c r="K175" i="2"/>
  <c r="L175" i="2"/>
  <c r="M175" i="2"/>
  <c r="N175" i="2"/>
  <c r="R175" i="2"/>
  <c r="P163" i="2"/>
  <c r="S163" i="2" s="1"/>
  <c r="O163" i="2"/>
  <c r="G162" i="2"/>
  <c r="H162" i="2"/>
  <c r="I162" i="2"/>
  <c r="J162" i="2"/>
  <c r="K162" i="2"/>
  <c r="L162" i="2"/>
  <c r="M162" i="2"/>
  <c r="N162" i="2"/>
  <c r="R162" i="2"/>
  <c r="H161" i="2"/>
  <c r="I161" i="2"/>
  <c r="J161" i="2"/>
  <c r="K161" i="2"/>
  <c r="L161" i="2"/>
  <c r="G161" i="2"/>
  <c r="H160" i="2"/>
  <c r="I160" i="2"/>
  <c r="J160" i="2"/>
  <c r="K160" i="2"/>
  <c r="L160" i="2"/>
  <c r="M160" i="2"/>
  <c r="N160" i="2"/>
  <c r="R160" i="2"/>
  <c r="G160" i="2"/>
  <c r="H159" i="2"/>
  <c r="I159" i="2"/>
  <c r="J159" i="2"/>
  <c r="K159" i="2"/>
  <c r="L159" i="2"/>
  <c r="M159" i="2"/>
  <c r="N159" i="2"/>
  <c r="R159" i="2"/>
  <c r="G159" i="2"/>
  <c r="M158" i="2"/>
  <c r="N158" i="2"/>
  <c r="R158" i="2"/>
  <c r="G158" i="2"/>
  <c r="L158" i="2"/>
  <c r="K158" i="2"/>
  <c r="J158" i="2"/>
  <c r="I158" i="2"/>
  <c r="H158" i="2"/>
  <c r="G157" i="2"/>
  <c r="H157" i="2"/>
  <c r="I157" i="2"/>
  <c r="J157" i="2"/>
  <c r="K157" i="2"/>
  <c r="L157" i="2"/>
  <c r="M157" i="2"/>
  <c r="N157" i="2"/>
  <c r="R157" i="2"/>
  <c r="G156" i="2"/>
  <c r="H156" i="2"/>
  <c r="I156" i="2"/>
  <c r="J156" i="2"/>
  <c r="K156" i="2"/>
  <c r="L156" i="2"/>
  <c r="M156" i="2"/>
  <c r="N156" i="2"/>
  <c r="R156" i="2"/>
  <c r="G155" i="2"/>
  <c r="H155" i="2"/>
  <c r="I155" i="2"/>
  <c r="J155" i="2"/>
  <c r="K155" i="2"/>
  <c r="L155" i="2"/>
  <c r="M155" i="2"/>
  <c r="N155" i="2"/>
  <c r="R155" i="2"/>
  <c r="G153" i="2"/>
  <c r="I153" i="2"/>
  <c r="J153" i="2"/>
  <c r="K153" i="2"/>
  <c r="L153" i="2"/>
  <c r="M153" i="2"/>
  <c r="N153" i="2"/>
  <c r="R153" i="2"/>
  <c r="H153" i="2"/>
  <c r="H142" i="2"/>
  <c r="J142" i="2"/>
  <c r="K142" i="2"/>
  <c r="L142" i="2"/>
  <c r="M142" i="2"/>
  <c r="N142" i="2"/>
  <c r="R142" i="2"/>
  <c r="G142" i="2"/>
  <c r="I142" i="2"/>
  <c r="H141" i="2"/>
  <c r="J141" i="2"/>
  <c r="L141" i="2"/>
  <c r="N141" i="2"/>
  <c r="R141" i="2"/>
  <c r="G141" i="2"/>
  <c r="I141" i="2"/>
  <c r="K141" i="2"/>
  <c r="M141" i="2"/>
  <c r="R140" i="2"/>
  <c r="J140" i="2"/>
  <c r="H140" i="2"/>
  <c r="G140" i="2"/>
  <c r="I140" i="2"/>
  <c r="M140" i="2"/>
  <c r="K140" i="2"/>
  <c r="L140" i="2"/>
  <c r="N140" i="2"/>
  <c r="R139" i="2"/>
  <c r="L139" i="2"/>
  <c r="G139" i="2"/>
  <c r="M139" i="2"/>
  <c r="N139" i="2"/>
  <c r="H139" i="2"/>
  <c r="J138" i="2"/>
  <c r="L138" i="2"/>
  <c r="N138" i="2"/>
  <c r="R138" i="2"/>
  <c r="G138" i="2"/>
  <c r="H138" i="2"/>
  <c r="I138" i="2"/>
  <c r="K138" i="2"/>
  <c r="M138" i="2"/>
  <c r="H137" i="2"/>
  <c r="J137" i="2"/>
  <c r="K137" i="2"/>
  <c r="M137" i="2"/>
  <c r="R137" i="2"/>
  <c r="G137" i="2"/>
  <c r="I137" i="2"/>
  <c r="L137" i="2"/>
  <c r="N137" i="2"/>
  <c r="H136" i="2"/>
  <c r="I136" i="2"/>
  <c r="K136" i="2"/>
  <c r="M136" i="2"/>
  <c r="N136" i="2"/>
  <c r="G136" i="2"/>
  <c r="J136" i="2"/>
  <c r="L136" i="2"/>
  <c r="R136" i="2"/>
  <c r="H135" i="2"/>
  <c r="I135" i="2"/>
  <c r="K135" i="2"/>
  <c r="M135" i="2"/>
  <c r="R135" i="2"/>
  <c r="G135" i="2"/>
  <c r="J135" i="2"/>
  <c r="L135" i="2"/>
  <c r="N135" i="2"/>
  <c r="I134" i="2"/>
  <c r="K134" i="2"/>
  <c r="M134" i="2"/>
  <c r="G134" i="2"/>
  <c r="H134" i="2"/>
  <c r="J134" i="2"/>
  <c r="L134" i="2"/>
  <c r="N134" i="2"/>
  <c r="R134" i="2"/>
  <c r="H133" i="2"/>
  <c r="J133" i="2"/>
  <c r="L133" i="2"/>
  <c r="N133" i="2"/>
  <c r="I133" i="2"/>
  <c r="K133" i="2"/>
  <c r="M133" i="2"/>
  <c r="G133" i="2"/>
  <c r="R133" i="2"/>
  <c r="H131" i="2"/>
  <c r="I131" i="2"/>
  <c r="K131" i="2"/>
  <c r="M131" i="2"/>
  <c r="R131" i="2"/>
  <c r="G131" i="2"/>
  <c r="J131" i="2"/>
  <c r="L131" i="2"/>
  <c r="N131" i="2"/>
  <c r="E143" i="2"/>
  <c r="F128" i="2"/>
  <c r="I121" i="2"/>
  <c r="M121" i="2"/>
  <c r="J121" i="2"/>
  <c r="L121" i="2"/>
  <c r="H121" i="2"/>
  <c r="G121" i="2"/>
  <c r="K121" i="2"/>
  <c r="N121" i="2"/>
  <c r="R121" i="2"/>
  <c r="M120" i="2"/>
  <c r="K120" i="2"/>
  <c r="H120" i="2"/>
  <c r="J120" i="2"/>
  <c r="G120" i="2"/>
  <c r="I120" i="2"/>
  <c r="L120" i="2"/>
  <c r="R120" i="2"/>
  <c r="N120" i="2"/>
  <c r="L118" i="2"/>
  <c r="J118" i="2"/>
  <c r="H118" i="2"/>
  <c r="M118" i="2"/>
  <c r="K118" i="2"/>
  <c r="I118" i="2"/>
  <c r="G118" i="2"/>
  <c r="N118" i="2"/>
  <c r="R118" i="2"/>
  <c r="H117" i="2"/>
  <c r="K117" i="2"/>
  <c r="I117" i="2"/>
  <c r="L117" i="2"/>
  <c r="R117" i="2"/>
  <c r="G117" i="2"/>
  <c r="J117" i="2"/>
  <c r="M117" i="2"/>
  <c r="N117" i="2"/>
  <c r="J116" i="2"/>
  <c r="N116" i="2"/>
  <c r="H116" i="2"/>
  <c r="K116" i="2"/>
  <c r="M116" i="2"/>
  <c r="G116" i="2"/>
  <c r="I116" i="2"/>
  <c r="L116" i="2"/>
  <c r="R116" i="2"/>
  <c r="I115" i="2"/>
  <c r="M115" i="2"/>
  <c r="G115" i="2"/>
  <c r="L115" i="2"/>
  <c r="H115" i="2"/>
  <c r="J115" i="2"/>
  <c r="K115" i="2"/>
  <c r="N115" i="2"/>
  <c r="R115" i="2"/>
  <c r="I114" i="2"/>
  <c r="K114" i="2"/>
  <c r="M114" i="2"/>
  <c r="H114" i="2"/>
  <c r="J114" i="2"/>
  <c r="L114" i="2"/>
  <c r="G114" i="2"/>
  <c r="N114" i="2"/>
  <c r="R114" i="2"/>
  <c r="P113" i="2"/>
  <c r="S113" i="2" s="1"/>
  <c r="O113" i="2"/>
  <c r="G111" i="2"/>
  <c r="H111" i="2"/>
  <c r="I111" i="2"/>
  <c r="J111" i="2"/>
  <c r="K111" i="2"/>
  <c r="L111" i="2"/>
  <c r="M111" i="2"/>
  <c r="N111" i="2"/>
  <c r="R111" i="2"/>
  <c r="G108" i="2"/>
  <c r="H108" i="2"/>
  <c r="I108" i="2"/>
  <c r="J100" i="2"/>
  <c r="I100" i="2"/>
  <c r="J95" i="2"/>
  <c r="R95" i="2"/>
  <c r="G93" i="2"/>
  <c r="H93" i="2"/>
  <c r="I93" i="2"/>
  <c r="J93" i="2"/>
  <c r="K93" i="2"/>
  <c r="L93" i="2"/>
  <c r="M93" i="2"/>
  <c r="N93" i="2"/>
  <c r="R93" i="2"/>
  <c r="N79" i="2"/>
  <c r="G79" i="2"/>
  <c r="K79" i="2"/>
  <c r="M79" i="2"/>
  <c r="I79" i="2"/>
  <c r="L79" i="2"/>
  <c r="R79" i="2"/>
  <c r="J79" i="2"/>
  <c r="M78" i="2"/>
  <c r="I78" i="2"/>
  <c r="G78" i="2"/>
  <c r="L78" i="2"/>
  <c r="K78" i="2"/>
  <c r="H78" i="2"/>
  <c r="J78" i="2"/>
  <c r="N78" i="2"/>
  <c r="R78" i="2"/>
  <c r="K77" i="2"/>
  <c r="M77" i="2"/>
  <c r="L77" i="2"/>
  <c r="J77" i="2"/>
  <c r="I77" i="2"/>
  <c r="G77" i="2"/>
  <c r="N77" i="2"/>
  <c r="R77" i="2"/>
  <c r="H77" i="2"/>
  <c r="H76" i="2"/>
  <c r="K76" i="2"/>
  <c r="G76" i="2"/>
  <c r="I76" i="2"/>
  <c r="L76" i="2"/>
  <c r="N76" i="2"/>
  <c r="J76" i="2"/>
  <c r="M76" i="2"/>
  <c r="R76" i="2"/>
  <c r="G75" i="2"/>
  <c r="J75" i="2"/>
  <c r="K75" i="2"/>
  <c r="M75" i="2"/>
  <c r="H75" i="2"/>
  <c r="N75" i="2"/>
  <c r="R75" i="2"/>
  <c r="I75" i="2"/>
  <c r="L75" i="2"/>
  <c r="N74" i="2"/>
  <c r="H74" i="2"/>
  <c r="K74" i="2"/>
  <c r="L74" i="2"/>
  <c r="I74" i="2"/>
  <c r="G74" i="2"/>
  <c r="J74" i="2"/>
  <c r="M74" i="2"/>
  <c r="R74" i="2"/>
  <c r="G73" i="2"/>
  <c r="H73" i="2"/>
  <c r="I73" i="2"/>
  <c r="J73" i="2"/>
  <c r="K73" i="2"/>
  <c r="L73" i="2"/>
  <c r="M73" i="2"/>
  <c r="N73" i="2"/>
  <c r="R73" i="2"/>
  <c r="G72" i="2"/>
  <c r="H72" i="2"/>
  <c r="R72" i="2"/>
  <c r="I72" i="2"/>
  <c r="J72" i="2"/>
  <c r="K72" i="2"/>
  <c r="L72" i="2"/>
  <c r="M72" i="2"/>
  <c r="N72" i="2"/>
  <c r="J71" i="2"/>
  <c r="K71" i="2"/>
  <c r="L71" i="2"/>
  <c r="M71" i="2"/>
  <c r="N71" i="2"/>
  <c r="I71" i="2"/>
  <c r="G71" i="2"/>
  <c r="H71" i="2"/>
  <c r="R71" i="2"/>
  <c r="F65" i="2"/>
  <c r="H58" i="2"/>
  <c r="J58" i="2"/>
  <c r="K58" i="2"/>
  <c r="M58" i="2"/>
  <c r="G58" i="2"/>
  <c r="I58" i="2"/>
  <c r="R58" i="2"/>
  <c r="L58" i="2"/>
  <c r="N58" i="2"/>
  <c r="M57" i="2"/>
  <c r="J57" i="2"/>
  <c r="R57" i="2"/>
  <c r="L57" i="2"/>
  <c r="H57" i="2"/>
  <c r="N57" i="2"/>
  <c r="K57" i="2"/>
  <c r="I57" i="2"/>
  <c r="G57" i="2"/>
  <c r="R55" i="2"/>
  <c r="N55" i="2"/>
  <c r="K55" i="2"/>
  <c r="I55" i="2"/>
  <c r="G55" i="2"/>
  <c r="M55" i="2"/>
  <c r="L55" i="2"/>
  <c r="J55" i="2"/>
  <c r="H55" i="2"/>
  <c r="M54" i="2"/>
  <c r="K54" i="2"/>
  <c r="H54" i="2"/>
  <c r="G54" i="2"/>
  <c r="R54" i="2"/>
  <c r="J54" i="2"/>
  <c r="N54" i="2"/>
  <c r="L54" i="2"/>
  <c r="I54" i="2"/>
  <c r="H53" i="2"/>
  <c r="J53" i="2"/>
  <c r="L53" i="2"/>
  <c r="N53" i="2"/>
  <c r="R53" i="2"/>
  <c r="I53" i="2"/>
  <c r="G53" i="2"/>
  <c r="K53" i="2"/>
  <c r="M53" i="2"/>
  <c r="L52" i="2"/>
  <c r="R52" i="2"/>
  <c r="N52" i="2"/>
  <c r="K52" i="2"/>
  <c r="I52" i="2"/>
  <c r="M52" i="2"/>
  <c r="J52" i="2"/>
  <c r="H52" i="2"/>
  <c r="G52" i="2"/>
  <c r="N51" i="2"/>
  <c r="L51" i="2"/>
  <c r="H51" i="2"/>
  <c r="K51" i="2"/>
  <c r="I51" i="2"/>
  <c r="J51" i="2"/>
  <c r="M51" i="2"/>
  <c r="R51" i="2"/>
  <c r="G51" i="2"/>
  <c r="E32" i="2"/>
  <c r="F32" i="2" s="1"/>
  <c r="E31" i="2"/>
  <c r="F31" i="2" s="1"/>
  <c r="E30" i="2"/>
  <c r="F30" i="2" s="1"/>
  <c r="E29" i="2"/>
  <c r="F29" i="2" s="1"/>
  <c r="E28" i="2"/>
  <c r="E27" i="2"/>
  <c r="E26" i="2"/>
  <c r="E25" i="2"/>
  <c r="E24" i="2"/>
  <c r="E23" i="2"/>
  <c r="F49" i="2"/>
  <c r="F46" i="2"/>
  <c r="F48" i="2"/>
  <c r="F44" i="2"/>
  <c r="F69" i="2"/>
  <c r="F68" i="2"/>
  <c r="F47" i="2"/>
  <c r="F88" i="2" l="1"/>
  <c r="F66" i="2"/>
  <c r="N90" i="2"/>
  <c r="J90" i="2"/>
  <c r="M90" i="2"/>
  <c r="H90" i="2"/>
  <c r="R90" i="2"/>
  <c r="K90" i="2"/>
  <c r="L90" i="2"/>
  <c r="G193" i="2"/>
  <c r="H193" i="2"/>
  <c r="I193" i="2"/>
  <c r="J193" i="2"/>
  <c r="K193" i="2"/>
  <c r="L193" i="2"/>
  <c r="M193" i="2"/>
  <c r="N193" i="2"/>
  <c r="R193" i="2"/>
  <c r="H151" i="2"/>
  <c r="I151" i="2"/>
  <c r="J151" i="2"/>
  <c r="K151" i="2"/>
  <c r="L151" i="2"/>
  <c r="M151" i="2"/>
  <c r="N151" i="2"/>
  <c r="R151" i="2"/>
  <c r="K212" i="2"/>
  <c r="G212" i="2"/>
  <c r="J212" i="2"/>
  <c r="L212" i="2"/>
  <c r="M212" i="2"/>
  <c r="N212" i="2"/>
  <c r="R212" i="2"/>
  <c r="G151" i="2"/>
  <c r="G154" i="2"/>
  <c r="H154" i="2"/>
  <c r="I154" i="2"/>
  <c r="J154" i="2"/>
  <c r="K154" i="2"/>
  <c r="L154" i="2"/>
  <c r="M154" i="2"/>
  <c r="N154" i="2"/>
  <c r="R154" i="2"/>
  <c r="R174" i="2"/>
  <c r="J174" i="2"/>
  <c r="G90" i="2"/>
  <c r="I90" i="2"/>
  <c r="I212" i="2"/>
  <c r="G195" i="2"/>
  <c r="G174" i="2"/>
  <c r="I174" i="2"/>
  <c r="H174" i="2"/>
  <c r="K174" i="2"/>
  <c r="L174" i="2"/>
  <c r="M174" i="2"/>
  <c r="N174" i="2"/>
  <c r="H110" i="2"/>
  <c r="K110" i="2"/>
  <c r="L110" i="2"/>
  <c r="N110" i="2"/>
  <c r="J110" i="2"/>
  <c r="M110" i="2"/>
  <c r="R110" i="2"/>
  <c r="I110" i="2"/>
  <c r="G110" i="2"/>
  <c r="G216" i="2"/>
  <c r="M216" i="2"/>
  <c r="R216" i="2"/>
  <c r="N216" i="2"/>
  <c r="L216" i="2"/>
  <c r="J216" i="2"/>
  <c r="I216" i="2"/>
  <c r="H216" i="2"/>
  <c r="K195" i="2"/>
  <c r="R195" i="2"/>
  <c r="N195" i="2"/>
  <c r="L195" i="2"/>
  <c r="M195" i="2"/>
  <c r="J195" i="2"/>
  <c r="I195" i="2"/>
  <c r="H195" i="2"/>
  <c r="G170" i="2"/>
  <c r="I170" i="2"/>
  <c r="J170" i="2"/>
  <c r="K170" i="2"/>
  <c r="L170" i="2"/>
  <c r="M170" i="2"/>
  <c r="N170" i="2"/>
  <c r="G149" i="2"/>
  <c r="H149" i="2"/>
  <c r="J149" i="2"/>
  <c r="K149" i="2"/>
  <c r="M149" i="2"/>
  <c r="R149" i="2"/>
  <c r="H170" i="2"/>
  <c r="R170" i="2"/>
  <c r="I149" i="2"/>
  <c r="L149" i="2"/>
  <c r="N149" i="2"/>
  <c r="H129" i="2"/>
  <c r="I129" i="2"/>
  <c r="M129" i="2"/>
  <c r="G129" i="2"/>
  <c r="J129" i="2"/>
  <c r="L129" i="2"/>
  <c r="N129" i="2"/>
  <c r="R129" i="2"/>
  <c r="K129" i="2"/>
  <c r="H192" i="2"/>
  <c r="G192" i="2"/>
  <c r="I192" i="2"/>
  <c r="J192" i="2"/>
  <c r="K192" i="2"/>
  <c r="L192" i="2"/>
  <c r="M192" i="2"/>
  <c r="N192" i="2"/>
  <c r="R192" i="2"/>
  <c r="E80" i="2"/>
  <c r="G112" i="2"/>
  <c r="H112" i="2"/>
  <c r="I112" i="2"/>
  <c r="J112" i="2"/>
  <c r="K112" i="2"/>
  <c r="L112" i="2"/>
  <c r="M112" i="2"/>
  <c r="N112" i="2"/>
  <c r="R112" i="2"/>
  <c r="G70" i="2"/>
  <c r="H70" i="2"/>
  <c r="I70" i="2"/>
  <c r="J70" i="2"/>
  <c r="K70" i="2"/>
  <c r="L70" i="2"/>
  <c r="M70" i="2"/>
  <c r="N70" i="2"/>
  <c r="R70" i="2"/>
  <c r="K216" i="2"/>
  <c r="I152" i="2"/>
  <c r="L152" i="2"/>
  <c r="N152" i="2"/>
  <c r="K152" i="2"/>
  <c r="M152" i="2"/>
  <c r="J152" i="2"/>
  <c r="H152" i="2"/>
  <c r="L215" i="2"/>
  <c r="R215" i="2"/>
  <c r="J215" i="2"/>
  <c r="H215" i="2"/>
  <c r="G215" i="2"/>
  <c r="M215" i="2"/>
  <c r="K215" i="2"/>
  <c r="I215" i="2"/>
  <c r="N215" i="2"/>
  <c r="G173" i="2"/>
  <c r="H173" i="2"/>
  <c r="I173" i="2"/>
  <c r="J173" i="2"/>
  <c r="K173" i="2"/>
  <c r="L173" i="2"/>
  <c r="M173" i="2"/>
  <c r="N173" i="2"/>
  <c r="R173" i="2"/>
  <c r="G152" i="2"/>
  <c r="R152" i="2"/>
  <c r="F89" i="2"/>
  <c r="K89" i="2" s="1"/>
  <c r="E101" i="2"/>
  <c r="O108" i="2"/>
  <c r="P108" i="2"/>
  <c r="L191" i="2"/>
  <c r="I191" i="2"/>
  <c r="G191" i="2"/>
  <c r="R191" i="2"/>
  <c r="N191" i="2"/>
  <c r="M191" i="2"/>
  <c r="H191" i="2"/>
  <c r="K191" i="2"/>
  <c r="J191" i="2"/>
  <c r="M214" i="2"/>
  <c r="N214" i="2"/>
  <c r="R214" i="2"/>
  <c r="L214" i="2"/>
  <c r="J214" i="2"/>
  <c r="H214" i="2"/>
  <c r="I214" i="2"/>
  <c r="G214" i="2"/>
  <c r="K214" i="2"/>
  <c r="N213" i="2"/>
  <c r="R213" i="2"/>
  <c r="J213" i="2"/>
  <c r="M213" i="2"/>
  <c r="L213" i="2"/>
  <c r="I213" i="2"/>
  <c r="G213" i="2"/>
  <c r="K213" i="2"/>
  <c r="H213" i="2"/>
  <c r="F227" i="2"/>
  <c r="M171" i="2"/>
  <c r="N171" i="2"/>
  <c r="R171" i="2"/>
  <c r="J171" i="2"/>
  <c r="H171" i="2"/>
  <c r="L150" i="2"/>
  <c r="M150" i="2"/>
  <c r="N150" i="2"/>
  <c r="R150" i="2"/>
  <c r="S108" i="2"/>
  <c r="F164" i="2"/>
  <c r="F206" i="2"/>
  <c r="H212" i="2"/>
  <c r="I92" i="2"/>
  <c r="M87" i="2"/>
  <c r="L87" i="2"/>
  <c r="J92" i="2"/>
  <c r="G87" i="2"/>
  <c r="H87" i="2"/>
  <c r="H92" i="2"/>
  <c r="L92" i="2"/>
  <c r="R92" i="2"/>
  <c r="N87" i="2"/>
  <c r="R87" i="2"/>
  <c r="I87" i="2"/>
  <c r="G92" i="2"/>
  <c r="K92" i="2"/>
  <c r="M92" i="2"/>
  <c r="N92" i="2"/>
  <c r="K87" i="2"/>
  <c r="J87" i="2"/>
  <c r="H79" i="2"/>
  <c r="J56" i="2"/>
  <c r="G56" i="2"/>
  <c r="N56" i="2"/>
  <c r="M56" i="2"/>
  <c r="R56" i="2"/>
  <c r="H56" i="2"/>
  <c r="M50" i="2"/>
  <c r="L50" i="2"/>
  <c r="G45" i="2"/>
  <c r="J45" i="2"/>
  <c r="K56" i="2"/>
  <c r="I50" i="2"/>
  <c r="L45" i="2"/>
  <c r="R45" i="2"/>
  <c r="M45" i="2"/>
  <c r="L56" i="2"/>
  <c r="R50" i="2"/>
  <c r="G50" i="2"/>
  <c r="J50" i="2"/>
  <c r="H45" i="2"/>
  <c r="N45" i="2"/>
  <c r="I56" i="2"/>
  <c r="H50" i="2"/>
  <c r="K50" i="2"/>
  <c r="N50" i="2"/>
  <c r="K45" i="2"/>
  <c r="I45" i="2"/>
  <c r="R33" i="2"/>
  <c r="F35" i="2"/>
  <c r="M33" i="2"/>
  <c r="J33" i="2"/>
  <c r="I33" i="2"/>
  <c r="H33" i="2"/>
  <c r="G33" i="2"/>
  <c r="L33" i="2"/>
  <c r="N33" i="2"/>
  <c r="K33" i="2"/>
  <c r="G172" i="2"/>
  <c r="H172" i="2"/>
  <c r="I172" i="2"/>
  <c r="J172" i="2"/>
  <c r="K172" i="2"/>
  <c r="L172" i="2"/>
  <c r="M172" i="2"/>
  <c r="N172" i="2"/>
  <c r="R172" i="2"/>
  <c r="F185" i="2"/>
  <c r="H130" i="2"/>
  <c r="I130" i="2"/>
  <c r="M130" i="2"/>
  <c r="G130" i="2"/>
  <c r="J130" i="2"/>
  <c r="L130" i="2"/>
  <c r="R130" i="2"/>
  <c r="G109" i="2"/>
  <c r="H109" i="2"/>
  <c r="I109" i="2"/>
  <c r="J109" i="2"/>
  <c r="K109" i="2"/>
  <c r="L109" i="2"/>
  <c r="N109" i="2"/>
  <c r="K130" i="2"/>
  <c r="N130" i="2"/>
  <c r="M109" i="2"/>
  <c r="R109" i="2"/>
  <c r="N67" i="2"/>
  <c r="I67" i="2"/>
  <c r="G67" i="2"/>
  <c r="R67" i="2"/>
  <c r="L67" i="2"/>
  <c r="M67" i="2"/>
  <c r="H67" i="2"/>
  <c r="K67" i="2"/>
  <c r="J67" i="2"/>
  <c r="G171" i="2"/>
  <c r="I171" i="2"/>
  <c r="K171" i="2"/>
  <c r="L171" i="2"/>
  <c r="G150" i="2"/>
  <c r="H150" i="2"/>
  <c r="I150" i="2"/>
  <c r="J150" i="2"/>
  <c r="K150" i="2"/>
  <c r="I86" i="2"/>
  <c r="L86" i="2"/>
  <c r="G86" i="2"/>
  <c r="J86" i="2"/>
  <c r="H86" i="2"/>
  <c r="N86" i="2"/>
  <c r="K86" i="2"/>
  <c r="M86" i="2"/>
  <c r="R86" i="2"/>
  <c r="G107" i="2"/>
  <c r="H107" i="2"/>
  <c r="I107" i="2"/>
  <c r="J107" i="2"/>
  <c r="K107" i="2"/>
  <c r="L107" i="2"/>
  <c r="M107" i="2"/>
  <c r="N107" i="2"/>
  <c r="R107" i="2"/>
  <c r="F122" i="2"/>
  <c r="G132" i="2"/>
  <c r="I132" i="2"/>
  <c r="K132" i="2"/>
  <c r="M132" i="2"/>
  <c r="H132" i="2"/>
  <c r="J132" i="2"/>
  <c r="L132" i="2"/>
  <c r="N132" i="2"/>
  <c r="R132" i="2"/>
  <c r="J88" i="2"/>
  <c r="L88" i="2"/>
  <c r="G88" i="2"/>
  <c r="H88" i="2"/>
  <c r="N88" i="2"/>
  <c r="R88" i="2"/>
  <c r="I88" i="2"/>
  <c r="K88" i="2"/>
  <c r="M88" i="2"/>
  <c r="G37" i="2"/>
  <c r="M37" i="2"/>
  <c r="I37" i="2"/>
  <c r="R37" i="2"/>
  <c r="N37" i="2"/>
  <c r="K37" i="2"/>
  <c r="L37" i="2"/>
  <c r="J37" i="2"/>
  <c r="H37" i="2"/>
  <c r="L36" i="2"/>
  <c r="N36" i="2"/>
  <c r="K36" i="2"/>
  <c r="G36" i="2"/>
  <c r="H36" i="2"/>
  <c r="J36" i="2"/>
  <c r="R36" i="2"/>
  <c r="M36" i="2"/>
  <c r="I36" i="2"/>
  <c r="J35" i="2"/>
  <c r="N35" i="2"/>
  <c r="P35" i="2" s="1"/>
  <c r="K35" i="2"/>
  <c r="R35" i="2"/>
  <c r="L35" i="2"/>
  <c r="I35" i="2"/>
  <c r="M35" i="2"/>
  <c r="H35" i="2"/>
  <c r="G35" i="2"/>
  <c r="G34" i="2"/>
  <c r="H34" i="2"/>
  <c r="I34" i="2"/>
  <c r="M96" i="2"/>
  <c r="R96" i="2"/>
  <c r="N96" i="2"/>
  <c r="L96" i="2"/>
  <c r="K96" i="2"/>
  <c r="J96" i="2"/>
  <c r="I96" i="2"/>
  <c r="H96" i="2"/>
  <c r="G96" i="2"/>
  <c r="N98" i="2"/>
  <c r="G98" i="2"/>
  <c r="H98" i="2"/>
  <c r="M98" i="2"/>
  <c r="I98" i="2"/>
  <c r="J98" i="2"/>
  <c r="K98" i="2"/>
  <c r="R98" i="2"/>
  <c r="L98" i="2"/>
  <c r="N97" i="2"/>
  <c r="G97" i="2"/>
  <c r="H97" i="2"/>
  <c r="I97" i="2"/>
  <c r="J97" i="2"/>
  <c r="K97" i="2"/>
  <c r="L97" i="2"/>
  <c r="R97" i="2"/>
  <c r="M97" i="2"/>
  <c r="I94" i="2"/>
  <c r="G94" i="2"/>
  <c r="H94" i="2"/>
  <c r="J94" i="2"/>
  <c r="K94" i="2"/>
  <c r="L94" i="2"/>
  <c r="N94" i="2"/>
  <c r="R94" i="2"/>
  <c r="M94" i="2"/>
  <c r="R99" i="2"/>
  <c r="N99" i="2"/>
  <c r="M99" i="2"/>
  <c r="L99" i="2"/>
  <c r="K99" i="2"/>
  <c r="J99" i="2"/>
  <c r="I99" i="2"/>
  <c r="H99" i="2"/>
  <c r="G99" i="2"/>
  <c r="G91" i="2"/>
  <c r="H91" i="2"/>
  <c r="I91" i="2"/>
  <c r="J91" i="2"/>
  <c r="K91" i="2"/>
  <c r="L91" i="2"/>
  <c r="M91" i="2"/>
  <c r="N91" i="2"/>
  <c r="R91" i="2"/>
  <c r="P100" i="2"/>
  <c r="S100" i="2" s="1"/>
  <c r="O100" i="2"/>
  <c r="O95" i="2"/>
  <c r="P95" i="2"/>
  <c r="S95" i="2" s="1"/>
  <c r="O161" i="2"/>
  <c r="P161" i="2"/>
  <c r="S161" i="2" s="1"/>
  <c r="O119" i="2"/>
  <c r="P119" i="2"/>
  <c r="S119" i="2" s="1"/>
  <c r="O34" i="2"/>
  <c r="P34" i="2"/>
  <c r="S34" i="2" s="1"/>
  <c r="O204" i="2"/>
  <c r="P204" i="2"/>
  <c r="S204" i="2" s="1"/>
  <c r="P226" i="2"/>
  <c r="S226" i="2" s="1"/>
  <c r="O226" i="2"/>
  <c r="O225" i="2"/>
  <c r="P225" i="2"/>
  <c r="S225" i="2" s="1"/>
  <c r="O224" i="2"/>
  <c r="P224" i="2"/>
  <c r="S224" i="2" s="1"/>
  <c r="O223" i="2"/>
  <c r="P223" i="2"/>
  <c r="S223" i="2" s="1"/>
  <c r="O222" i="2"/>
  <c r="P222" i="2"/>
  <c r="S222" i="2" s="1"/>
  <c r="P220" i="2"/>
  <c r="S220" i="2" s="1"/>
  <c r="O220" i="2"/>
  <c r="P219" i="2"/>
  <c r="S219" i="2" s="1"/>
  <c r="O219" i="2"/>
  <c r="O218" i="2"/>
  <c r="P218" i="2"/>
  <c r="S218" i="2" s="1"/>
  <c r="O217" i="2"/>
  <c r="P217" i="2"/>
  <c r="S217" i="2" s="1"/>
  <c r="O212" i="2"/>
  <c r="P212" i="2"/>
  <c r="P205" i="2"/>
  <c r="S205" i="2" s="1"/>
  <c r="O205" i="2"/>
  <c r="O203" i="2"/>
  <c r="P203" i="2"/>
  <c r="S203" i="2" s="1"/>
  <c r="O202" i="2"/>
  <c r="P202" i="2"/>
  <c r="S202" i="2" s="1"/>
  <c r="O201" i="2"/>
  <c r="P201" i="2"/>
  <c r="S201" i="2" s="1"/>
  <c r="O200" i="2"/>
  <c r="P200" i="2"/>
  <c r="S200" i="2" s="1"/>
  <c r="O199" i="2"/>
  <c r="P199" i="2"/>
  <c r="S199" i="2" s="1"/>
  <c r="O198" i="2"/>
  <c r="P198" i="2"/>
  <c r="S198" i="2" s="1"/>
  <c r="O197" i="2"/>
  <c r="P197" i="2"/>
  <c r="S197" i="2" s="1"/>
  <c r="O196" i="2"/>
  <c r="P196" i="2"/>
  <c r="S196" i="2" s="1"/>
  <c r="O194" i="2"/>
  <c r="P194" i="2"/>
  <c r="S194" i="2" s="1"/>
  <c r="O193" i="2"/>
  <c r="P193" i="2"/>
  <c r="O184" i="2"/>
  <c r="P184" i="2"/>
  <c r="S184" i="2" s="1"/>
  <c r="O183" i="2"/>
  <c r="P183" i="2"/>
  <c r="S183" i="2" s="1"/>
  <c r="O182" i="2"/>
  <c r="P182" i="2"/>
  <c r="S182" i="2" s="1"/>
  <c r="O181" i="2"/>
  <c r="P181" i="2"/>
  <c r="S181" i="2" s="1"/>
  <c r="O180" i="2"/>
  <c r="P180" i="2"/>
  <c r="S180" i="2" s="1"/>
  <c r="O179" i="2"/>
  <c r="P179" i="2"/>
  <c r="S179" i="2" s="1"/>
  <c r="O178" i="2"/>
  <c r="P178" i="2"/>
  <c r="S178" i="2" s="1"/>
  <c r="O177" i="2"/>
  <c r="P177" i="2"/>
  <c r="S177" i="2" s="1"/>
  <c r="O176" i="2"/>
  <c r="P176" i="2"/>
  <c r="S176" i="2" s="1"/>
  <c r="O175" i="2"/>
  <c r="P175" i="2"/>
  <c r="S175" i="2" s="1"/>
  <c r="O162" i="2"/>
  <c r="P162" i="2"/>
  <c r="S162" i="2" s="1"/>
  <c r="O160" i="2"/>
  <c r="P160" i="2"/>
  <c r="S160" i="2" s="1"/>
  <c r="O159" i="2"/>
  <c r="P159" i="2"/>
  <c r="S159" i="2" s="1"/>
  <c r="O158" i="2"/>
  <c r="P158" i="2"/>
  <c r="S158" i="2" s="1"/>
  <c r="O157" i="2"/>
  <c r="P157" i="2"/>
  <c r="S157" i="2" s="1"/>
  <c r="O156" i="2"/>
  <c r="P156" i="2"/>
  <c r="S156" i="2" s="1"/>
  <c r="O155" i="2"/>
  <c r="P155" i="2"/>
  <c r="S155" i="2" s="1"/>
  <c r="O153" i="2"/>
  <c r="P153" i="2"/>
  <c r="S153" i="2" s="1"/>
  <c r="O142" i="2"/>
  <c r="P142" i="2"/>
  <c r="S142" i="2" s="1"/>
  <c r="O141" i="2"/>
  <c r="P141" i="2"/>
  <c r="S141" i="2" s="1"/>
  <c r="O140" i="2"/>
  <c r="P140" i="2"/>
  <c r="S140" i="2" s="1"/>
  <c r="O139" i="2"/>
  <c r="P139" i="2"/>
  <c r="S139" i="2" s="1"/>
  <c r="O138" i="2"/>
  <c r="P138" i="2"/>
  <c r="S138" i="2" s="1"/>
  <c r="P137" i="2"/>
  <c r="S137" i="2" s="1"/>
  <c r="O137" i="2"/>
  <c r="O136" i="2"/>
  <c r="P136" i="2"/>
  <c r="S136" i="2" s="1"/>
  <c r="P135" i="2"/>
  <c r="S135" i="2" s="1"/>
  <c r="O135" i="2"/>
  <c r="O134" i="2"/>
  <c r="P134" i="2"/>
  <c r="S134" i="2" s="1"/>
  <c r="P133" i="2"/>
  <c r="S133" i="2" s="1"/>
  <c r="O133" i="2"/>
  <c r="P131" i="2"/>
  <c r="S131" i="2" s="1"/>
  <c r="O131" i="2"/>
  <c r="G128" i="2"/>
  <c r="J128" i="2"/>
  <c r="N128" i="2"/>
  <c r="R128" i="2"/>
  <c r="K128" i="2"/>
  <c r="M128" i="2"/>
  <c r="H128" i="2"/>
  <c r="I128" i="2"/>
  <c r="L128" i="2"/>
  <c r="F143" i="2"/>
  <c r="P121" i="2"/>
  <c r="S121" i="2" s="1"/>
  <c r="O121" i="2"/>
  <c r="P120" i="2"/>
  <c r="S120" i="2" s="1"/>
  <c r="O120" i="2"/>
  <c r="P118" i="2"/>
  <c r="S118" i="2" s="1"/>
  <c r="O118" i="2"/>
  <c r="P117" i="2"/>
  <c r="S117" i="2" s="1"/>
  <c r="O117" i="2"/>
  <c r="P116" i="2"/>
  <c r="S116" i="2" s="1"/>
  <c r="O116" i="2"/>
  <c r="P115" i="2"/>
  <c r="S115" i="2" s="1"/>
  <c r="O115" i="2"/>
  <c r="P114" i="2"/>
  <c r="S114" i="2" s="1"/>
  <c r="O114" i="2"/>
  <c r="O111" i="2"/>
  <c r="P111" i="2"/>
  <c r="S111" i="2" s="1"/>
  <c r="O93" i="2"/>
  <c r="P93" i="2"/>
  <c r="S93" i="2" s="1"/>
  <c r="P79" i="2"/>
  <c r="S79" i="2" s="1"/>
  <c r="O79" i="2"/>
  <c r="P78" i="2"/>
  <c r="S78" i="2" s="1"/>
  <c r="O78" i="2"/>
  <c r="O77" i="2"/>
  <c r="P77" i="2"/>
  <c r="S77" i="2" s="1"/>
  <c r="O76" i="2"/>
  <c r="P76" i="2"/>
  <c r="S76" i="2" s="1"/>
  <c r="P75" i="2"/>
  <c r="S75" i="2" s="1"/>
  <c r="O75" i="2"/>
  <c r="P74" i="2"/>
  <c r="S74" i="2" s="1"/>
  <c r="O74" i="2"/>
  <c r="O73" i="2"/>
  <c r="P73" i="2"/>
  <c r="S73" i="2" s="1"/>
  <c r="O72" i="2"/>
  <c r="P72" i="2"/>
  <c r="S72" i="2" s="1"/>
  <c r="O71" i="2"/>
  <c r="P71" i="2"/>
  <c r="S71" i="2" s="1"/>
  <c r="H65" i="2"/>
  <c r="J65" i="2"/>
  <c r="M65" i="2"/>
  <c r="L65" i="2"/>
  <c r="G65" i="2"/>
  <c r="I65" i="2"/>
  <c r="K65" i="2"/>
  <c r="N65" i="2"/>
  <c r="R65" i="2"/>
  <c r="P58" i="2"/>
  <c r="S58" i="2" s="1"/>
  <c r="O58" i="2"/>
  <c r="P57" i="2"/>
  <c r="S57" i="2" s="1"/>
  <c r="O57" i="2"/>
  <c r="O55" i="2"/>
  <c r="P55" i="2"/>
  <c r="S55" i="2" s="1"/>
  <c r="P54" i="2"/>
  <c r="S54" i="2" s="1"/>
  <c r="O54" i="2"/>
  <c r="O53" i="2"/>
  <c r="P53" i="2"/>
  <c r="S53" i="2" s="1"/>
  <c r="P52" i="2"/>
  <c r="S52" i="2" s="1"/>
  <c r="O52" i="2"/>
  <c r="P51" i="2"/>
  <c r="S51" i="2" s="1"/>
  <c r="O51" i="2"/>
  <c r="R32" i="2"/>
  <c r="N32" i="2"/>
  <c r="M32" i="2"/>
  <c r="L32" i="2"/>
  <c r="K32" i="2"/>
  <c r="J32" i="2"/>
  <c r="I32" i="2"/>
  <c r="H32" i="2"/>
  <c r="G32" i="2"/>
  <c r="G31" i="2"/>
  <c r="H31" i="2"/>
  <c r="I31" i="2"/>
  <c r="J31" i="2"/>
  <c r="K31" i="2"/>
  <c r="L31" i="2"/>
  <c r="M31" i="2"/>
  <c r="N31" i="2"/>
  <c r="R31" i="2"/>
  <c r="J30" i="2"/>
  <c r="H30" i="2"/>
  <c r="I30" i="2"/>
  <c r="K30" i="2"/>
  <c r="R30" i="2"/>
  <c r="N30" i="2"/>
  <c r="M30" i="2"/>
  <c r="L30" i="2"/>
  <c r="G30" i="2"/>
  <c r="J29" i="2"/>
  <c r="R29" i="2"/>
  <c r="N29" i="2"/>
  <c r="M29" i="2"/>
  <c r="L29" i="2"/>
  <c r="K29" i="2"/>
  <c r="I29" i="2"/>
  <c r="H29" i="2"/>
  <c r="G29" i="2"/>
  <c r="F28" i="2"/>
  <c r="E8" i="2"/>
  <c r="F27" i="2"/>
  <c r="E7" i="2"/>
  <c r="F26" i="2"/>
  <c r="E6" i="2"/>
  <c r="E5" i="2"/>
  <c r="F25" i="2"/>
  <c r="E4" i="2"/>
  <c r="F24" i="2"/>
  <c r="E3" i="2"/>
  <c r="F23" i="2"/>
  <c r="F3" i="2" s="1"/>
  <c r="E38" i="2"/>
  <c r="R49" i="2"/>
  <c r="N49" i="2"/>
  <c r="K49" i="2"/>
  <c r="I49" i="2"/>
  <c r="G49" i="2"/>
  <c r="J49" i="2"/>
  <c r="M49" i="2"/>
  <c r="L49" i="2"/>
  <c r="H49" i="2"/>
  <c r="R46" i="2"/>
  <c r="N46" i="2"/>
  <c r="K46" i="2"/>
  <c r="H46" i="2"/>
  <c r="M46" i="2"/>
  <c r="I46" i="2"/>
  <c r="G46" i="2"/>
  <c r="L46" i="2"/>
  <c r="J46" i="2"/>
  <c r="R48" i="2"/>
  <c r="M48" i="2"/>
  <c r="K48" i="2"/>
  <c r="H48" i="2"/>
  <c r="L48" i="2"/>
  <c r="I48" i="2"/>
  <c r="G48" i="2"/>
  <c r="N48" i="2"/>
  <c r="J48" i="2"/>
  <c r="F59" i="2"/>
  <c r="G44" i="2"/>
  <c r="J44" i="2"/>
  <c r="R44" i="2"/>
  <c r="N44" i="2"/>
  <c r="M44" i="2"/>
  <c r="K44" i="2"/>
  <c r="H44" i="2"/>
  <c r="I44" i="2"/>
  <c r="L44" i="2"/>
  <c r="R69" i="2"/>
  <c r="H69" i="2"/>
  <c r="N69" i="2"/>
  <c r="M69" i="2"/>
  <c r="L69" i="2"/>
  <c r="K69" i="2"/>
  <c r="J69" i="2"/>
  <c r="I69" i="2"/>
  <c r="G69" i="2"/>
  <c r="R68" i="2"/>
  <c r="H68" i="2"/>
  <c r="N68" i="2"/>
  <c r="M68" i="2"/>
  <c r="L68" i="2"/>
  <c r="K68" i="2"/>
  <c r="J68" i="2"/>
  <c r="I68" i="2"/>
  <c r="G68" i="2"/>
  <c r="I47" i="2"/>
  <c r="R47" i="2"/>
  <c r="N47" i="2"/>
  <c r="L47" i="2"/>
  <c r="J47" i="2"/>
  <c r="G47" i="2"/>
  <c r="M47" i="2"/>
  <c r="K47" i="2"/>
  <c r="H47" i="2"/>
  <c r="O151" i="2" l="1"/>
  <c r="P151" i="2"/>
  <c r="M66" i="2"/>
  <c r="G66" i="2"/>
  <c r="N66" i="2"/>
  <c r="L66" i="2"/>
  <c r="K66" i="2"/>
  <c r="I66" i="2"/>
  <c r="H66" i="2"/>
  <c r="R66" i="2"/>
  <c r="J66" i="2"/>
  <c r="F80" i="2"/>
  <c r="O90" i="2"/>
  <c r="S193" i="2"/>
  <c r="S151" i="2"/>
  <c r="O154" i="2"/>
  <c r="P154" i="2"/>
  <c r="S154" i="2" s="1"/>
  <c r="O174" i="2"/>
  <c r="P174" i="2"/>
  <c r="S174" i="2" s="1"/>
  <c r="P90" i="2"/>
  <c r="S90" i="2" s="1"/>
  <c r="O129" i="2"/>
  <c r="P129" i="2"/>
  <c r="S129" i="2" s="1"/>
  <c r="O191" i="2"/>
  <c r="P191" i="2"/>
  <c r="O170" i="2"/>
  <c r="P170" i="2"/>
  <c r="O149" i="2"/>
  <c r="P149" i="2"/>
  <c r="J227" i="2"/>
  <c r="M227" i="2"/>
  <c r="L227" i="2"/>
  <c r="I227" i="2"/>
  <c r="G227" i="2"/>
  <c r="G122" i="2"/>
  <c r="H122" i="2"/>
  <c r="I122" i="2"/>
  <c r="J122" i="2"/>
  <c r="K122" i="2"/>
  <c r="L122" i="2"/>
  <c r="M122" i="2"/>
  <c r="R122" i="2"/>
  <c r="F10" i="3" s="1"/>
  <c r="O110" i="2"/>
  <c r="P110" i="2"/>
  <c r="S110" i="2" s="1"/>
  <c r="P216" i="2"/>
  <c r="S216" i="2" s="1"/>
  <c r="O216" i="2"/>
  <c r="P195" i="2"/>
  <c r="S195" i="2" s="1"/>
  <c r="O195" i="2"/>
  <c r="K227" i="2"/>
  <c r="O192" i="2"/>
  <c r="P192" i="2"/>
  <c r="S192" i="2" s="1"/>
  <c r="N206" i="2"/>
  <c r="J5" i="3" s="1"/>
  <c r="O112" i="2"/>
  <c r="P112" i="2"/>
  <c r="S112" i="2" s="1"/>
  <c r="O70" i="2"/>
  <c r="P70" i="2"/>
  <c r="S70" i="2" s="1"/>
  <c r="O152" i="2"/>
  <c r="P152" i="2"/>
  <c r="S152" i="2" s="1"/>
  <c r="H164" i="2"/>
  <c r="I164" i="2"/>
  <c r="J164" i="2"/>
  <c r="G89" i="2"/>
  <c r="L89" i="2"/>
  <c r="N89" i="2"/>
  <c r="R89" i="2"/>
  <c r="I89" i="2"/>
  <c r="J89" i="2"/>
  <c r="M89" i="2"/>
  <c r="H89" i="2"/>
  <c r="F101" i="2"/>
  <c r="G164" i="2"/>
  <c r="K164" i="2"/>
  <c r="P215" i="2"/>
  <c r="S215" i="2" s="1"/>
  <c r="O215" i="2"/>
  <c r="O173" i="2"/>
  <c r="P173" i="2"/>
  <c r="S173" i="2" s="1"/>
  <c r="O214" i="2"/>
  <c r="P214" i="2"/>
  <c r="S214" i="2" s="1"/>
  <c r="L206" i="2"/>
  <c r="I206" i="2"/>
  <c r="G206" i="2"/>
  <c r="R206" i="2"/>
  <c r="J10" i="3" s="1"/>
  <c r="M206" i="2"/>
  <c r="H206" i="2"/>
  <c r="K206" i="2"/>
  <c r="J206" i="2"/>
  <c r="R227" i="2"/>
  <c r="K10" i="3" s="1"/>
  <c r="H227" i="2"/>
  <c r="L164" i="2"/>
  <c r="M164" i="2"/>
  <c r="R164" i="2"/>
  <c r="H10" i="3" s="1"/>
  <c r="O213" i="2"/>
  <c r="P213" i="2"/>
  <c r="S213" i="2" s="1"/>
  <c r="N227" i="2"/>
  <c r="K5" i="3" s="1"/>
  <c r="O171" i="2"/>
  <c r="P171" i="2"/>
  <c r="S171" i="2" s="1"/>
  <c r="O150" i="2"/>
  <c r="P150" i="2"/>
  <c r="S150" i="2" s="1"/>
  <c r="N164" i="2"/>
  <c r="H5" i="3" s="1"/>
  <c r="O66" i="2"/>
  <c r="P66" i="2" s="1"/>
  <c r="S66" i="2" s="1"/>
  <c r="O92" i="2"/>
  <c r="P92" i="2"/>
  <c r="S92" i="2" s="1"/>
  <c r="O87" i="2"/>
  <c r="P87" i="2" s="1"/>
  <c r="S87" i="2" s="1"/>
  <c r="O56" i="2"/>
  <c r="O50" i="2"/>
  <c r="P56" i="2"/>
  <c r="S56" i="2" s="1"/>
  <c r="P50" i="2"/>
  <c r="S50" i="2" s="1"/>
  <c r="O45" i="2"/>
  <c r="P45" i="2" s="1"/>
  <c r="S45" i="2" s="1"/>
  <c r="S35" i="2"/>
  <c r="O36" i="2"/>
  <c r="P33" i="2"/>
  <c r="S33" i="2" s="1"/>
  <c r="O37" i="2"/>
  <c r="P37" i="2"/>
  <c r="S37" i="2" s="1"/>
  <c r="P36" i="2"/>
  <c r="S36" i="2" s="1"/>
  <c r="O35" i="2"/>
  <c r="O33" i="2"/>
  <c r="O172" i="2"/>
  <c r="P172" i="2"/>
  <c r="S172" i="2" s="1"/>
  <c r="N185" i="2"/>
  <c r="I5" i="3" s="1"/>
  <c r="O130" i="2"/>
  <c r="P109" i="2"/>
  <c r="S109" i="2" s="1"/>
  <c r="P130" i="2"/>
  <c r="S130" i="2" s="1"/>
  <c r="O109" i="2"/>
  <c r="N122" i="2"/>
  <c r="F5" i="3" s="1"/>
  <c r="O67" i="2"/>
  <c r="G185" i="2"/>
  <c r="H185" i="2"/>
  <c r="I185" i="2"/>
  <c r="J185" i="2"/>
  <c r="K185" i="2"/>
  <c r="L185" i="2"/>
  <c r="M185" i="2"/>
  <c r="R185" i="2"/>
  <c r="I10" i="3" s="1"/>
  <c r="O86" i="2"/>
  <c r="O107" i="2"/>
  <c r="P107" i="2"/>
  <c r="O132" i="2"/>
  <c r="P132" i="2"/>
  <c r="S132" i="2" s="1"/>
  <c r="G143" i="2"/>
  <c r="J143" i="2"/>
  <c r="R143" i="2"/>
  <c r="G10" i="3" s="1"/>
  <c r="K143" i="2"/>
  <c r="M143" i="2"/>
  <c r="H143" i="2"/>
  <c r="I143" i="2"/>
  <c r="L143" i="2"/>
  <c r="K101" i="2"/>
  <c r="O88" i="2"/>
  <c r="P88" i="2" s="1"/>
  <c r="S88" i="2" s="1"/>
  <c r="O96" i="2"/>
  <c r="P96" i="2"/>
  <c r="S96" i="2" s="1"/>
  <c r="O98" i="2"/>
  <c r="P98" i="2"/>
  <c r="S98" i="2" s="1"/>
  <c r="O97" i="2"/>
  <c r="P97" i="2"/>
  <c r="S97" i="2" s="1"/>
  <c r="O94" i="2"/>
  <c r="P94" i="2"/>
  <c r="O99" i="2"/>
  <c r="P99" i="2"/>
  <c r="S99" i="2" s="1"/>
  <c r="O91" i="2"/>
  <c r="E18" i="2"/>
  <c r="S212" i="2"/>
  <c r="P128" i="2"/>
  <c r="O128" i="2"/>
  <c r="N143" i="2"/>
  <c r="G5" i="3" s="1"/>
  <c r="O65" i="2"/>
  <c r="P65" i="2" s="1"/>
  <c r="P32" i="2"/>
  <c r="S32" i="2" s="1"/>
  <c r="O32" i="2"/>
  <c r="O31" i="2"/>
  <c r="P31" i="2"/>
  <c r="S31" i="2" s="1"/>
  <c r="O30" i="2"/>
  <c r="P30" i="2"/>
  <c r="S30" i="2" s="1"/>
  <c r="O29" i="2"/>
  <c r="P29" i="2"/>
  <c r="S29" i="2" s="1"/>
  <c r="F8" i="2"/>
  <c r="I28" i="2"/>
  <c r="I8" i="2" s="1"/>
  <c r="J28" i="2"/>
  <c r="J8" i="2" s="1"/>
  <c r="K28" i="2"/>
  <c r="K8" i="2" s="1"/>
  <c r="L28" i="2"/>
  <c r="L8" i="2" s="1"/>
  <c r="M28" i="2"/>
  <c r="M8" i="2" s="1"/>
  <c r="N28" i="2"/>
  <c r="R28" i="2"/>
  <c r="R8" i="2" s="1"/>
  <c r="H28" i="2"/>
  <c r="H8" i="2" s="1"/>
  <c r="G28" i="2"/>
  <c r="G8" i="2" s="1"/>
  <c r="I27" i="2"/>
  <c r="I7" i="2" s="1"/>
  <c r="F7" i="2"/>
  <c r="R27" i="2"/>
  <c r="R7" i="2" s="1"/>
  <c r="N27" i="2"/>
  <c r="M27" i="2"/>
  <c r="M7" i="2" s="1"/>
  <c r="L27" i="2"/>
  <c r="L7" i="2" s="1"/>
  <c r="K27" i="2"/>
  <c r="K7" i="2" s="1"/>
  <c r="J27" i="2"/>
  <c r="J7" i="2" s="1"/>
  <c r="H27" i="2"/>
  <c r="H7" i="2" s="1"/>
  <c r="G27" i="2"/>
  <c r="G7" i="2" s="1"/>
  <c r="F6" i="2"/>
  <c r="H26" i="2"/>
  <c r="G26" i="2"/>
  <c r="L26" i="2"/>
  <c r="K26" i="2"/>
  <c r="K6" i="2" s="1"/>
  <c r="I26" i="2"/>
  <c r="J26" i="2"/>
  <c r="R26" i="2"/>
  <c r="N26" i="2"/>
  <c r="M26" i="2"/>
  <c r="I25" i="2"/>
  <c r="I5" i="2" s="1"/>
  <c r="F5" i="2"/>
  <c r="N25" i="2"/>
  <c r="M25" i="2"/>
  <c r="M5" i="2" s="1"/>
  <c r="L25" i="2"/>
  <c r="L5" i="2" s="1"/>
  <c r="K25" i="2"/>
  <c r="K5" i="2" s="1"/>
  <c r="R25" i="2"/>
  <c r="R5" i="2" s="1"/>
  <c r="J25" i="2"/>
  <c r="J5" i="2" s="1"/>
  <c r="H25" i="2"/>
  <c r="H5" i="2" s="1"/>
  <c r="G25" i="2"/>
  <c r="G5" i="2" s="1"/>
  <c r="R24" i="2"/>
  <c r="N24" i="2"/>
  <c r="M24" i="2"/>
  <c r="L24" i="2"/>
  <c r="K24" i="2"/>
  <c r="J24" i="2"/>
  <c r="F4" i="2"/>
  <c r="I24" i="2"/>
  <c r="H24" i="2"/>
  <c r="G24" i="2"/>
  <c r="I23" i="2"/>
  <c r="R23" i="2"/>
  <c r="N23" i="2"/>
  <c r="M23" i="2"/>
  <c r="L23" i="2"/>
  <c r="K23" i="2"/>
  <c r="J23" i="2"/>
  <c r="H23" i="2"/>
  <c r="G23" i="2"/>
  <c r="F38" i="2"/>
  <c r="O49" i="2"/>
  <c r="P49" i="2" s="1"/>
  <c r="S49" i="2" s="1"/>
  <c r="O46" i="2"/>
  <c r="P46" i="2" s="1"/>
  <c r="S46" i="2" s="1"/>
  <c r="O48" i="2"/>
  <c r="P48" i="2" s="1"/>
  <c r="S48" i="2" s="1"/>
  <c r="O44" i="2"/>
  <c r="N59" i="2"/>
  <c r="C5" i="3" s="1"/>
  <c r="O69" i="2"/>
  <c r="P69" i="2" s="1"/>
  <c r="S69" i="2" s="1"/>
  <c r="O68" i="2"/>
  <c r="O47" i="2"/>
  <c r="P47" i="2" s="1"/>
  <c r="S47" i="2" s="1"/>
  <c r="R59" i="2"/>
  <c r="C10" i="3" s="1"/>
  <c r="H59" i="2"/>
  <c r="K59" i="2"/>
  <c r="J59" i="2"/>
  <c r="L59" i="2"/>
  <c r="G59" i="2"/>
  <c r="M59" i="2"/>
  <c r="I59" i="2"/>
  <c r="L4" i="2" l="1"/>
  <c r="J4" i="2"/>
  <c r="I4" i="2"/>
  <c r="G4" i="2"/>
  <c r="N80" i="2"/>
  <c r="D5" i="3" s="1"/>
  <c r="R4" i="2"/>
  <c r="M4" i="2"/>
  <c r="K4" i="2"/>
  <c r="H4" i="2"/>
  <c r="H80" i="2"/>
  <c r="J80" i="2"/>
  <c r="M80" i="2"/>
  <c r="L80" i="2"/>
  <c r="G80" i="2"/>
  <c r="I80" i="2"/>
  <c r="K80" i="2"/>
  <c r="R80" i="2"/>
  <c r="D10" i="3" s="1"/>
  <c r="S191" i="2"/>
  <c r="S170" i="2"/>
  <c r="S149" i="2"/>
  <c r="N13" i="1"/>
  <c r="P67" i="2"/>
  <c r="S67" i="2" s="1"/>
  <c r="P206" i="2"/>
  <c r="J20" i="3"/>
  <c r="J22" i="3" s="1"/>
  <c r="O206" i="2"/>
  <c r="J6" i="3" s="1"/>
  <c r="J7" i="3" s="1"/>
  <c r="O89" i="2"/>
  <c r="P89" i="2" s="1"/>
  <c r="S89" i="2" s="1"/>
  <c r="G101" i="2"/>
  <c r="I101" i="2"/>
  <c r="J101" i="2"/>
  <c r="R101" i="2"/>
  <c r="E10" i="3" s="1"/>
  <c r="N12" i="1" s="1"/>
  <c r="I6" i="2"/>
  <c r="H101" i="2"/>
  <c r="L101" i="2"/>
  <c r="M101" i="2"/>
  <c r="N101" i="2"/>
  <c r="E5" i="3" s="1"/>
  <c r="G6" i="2"/>
  <c r="L6" i="2"/>
  <c r="J6" i="2"/>
  <c r="M6" i="2"/>
  <c r="P68" i="2"/>
  <c r="S68" i="2" s="1"/>
  <c r="H6" i="2"/>
  <c r="R6" i="2"/>
  <c r="N19" i="1"/>
  <c r="N15" i="1"/>
  <c r="P185" i="2"/>
  <c r="N18" i="1"/>
  <c r="O227" i="2"/>
  <c r="K6" i="3" s="1"/>
  <c r="O185" i="2"/>
  <c r="I6" i="3" s="1"/>
  <c r="S227" i="2"/>
  <c r="P227" i="2"/>
  <c r="K20" i="3"/>
  <c r="K22" i="3" s="1"/>
  <c r="P164" i="2"/>
  <c r="H20" i="3"/>
  <c r="H22" i="3" s="1"/>
  <c r="O164" i="2"/>
  <c r="H6" i="3" s="1"/>
  <c r="H7" i="3" s="1"/>
  <c r="P86" i="2"/>
  <c r="I20" i="3"/>
  <c r="I22" i="3" s="1"/>
  <c r="I32" i="3" s="1"/>
  <c r="P91" i="2"/>
  <c r="S91" i="2" s="1"/>
  <c r="O143" i="2"/>
  <c r="G6" i="3" s="1"/>
  <c r="F20" i="3"/>
  <c r="F22" i="3" s="1"/>
  <c r="N16" i="1"/>
  <c r="N14" i="1"/>
  <c r="P122" i="2"/>
  <c r="S107" i="2"/>
  <c r="S122" i="2" s="1"/>
  <c r="O122" i="2"/>
  <c r="F6" i="3" s="1"/>
  <c r="F7" i="3" s="1"/>
  <c r="F18" i="2"/>
  <c r="S94" i="2"/>
  <c r="S128" i="2"/>
  <c r="S143" i="2" s="1"/>
  <c r="P143" i="2"/>
  <c r="G20" i="3"/>
  <c r="G22" i="3" s="1"/>
  <c r="S65" i="2"/>
  <c r="N8" i="2"/>
  <c r="O28" i="2"/>
  <c r="O27" i="2"/>
  <c r="O7" i="2" s="1"/>
  <c r="N7" i="2"/>
  <c r="O26" i="2"/>
  <c r="N6" i="2"/>
  <c r="N5" i="2"/>
  <c r="O25" i="2"/>
  <c r="N4" i="2"/>
  <c r="O24" i="2"/>
  <c r="I3" i="2"/>
  <c r="I38" i="2"/>
  <c r="R3" i="2"/>
  <c r="R38" i="2"/>
  <c r="B10" i="3" s="1"/>
  <c r="N3" i="2"/>
  <c r="O23" i="2"/>
  <c r="P23" i="2" s="1"/>
  <c r="N38" i="2"/>
  <c r="B5" i="3" s="1"/>
  <c r="M3" i="2"/>
  <c r="M38" i="2"/>
  <c r="L3" i="2"/>
  <c r="L38" i="2"/>
  <c r="K3" i="2"/>
  <c r="K38" i="2"/>
  <c r="J3" i="2"/>
  <c r="J38" i="2"/>
  <c r="H3" i="2"/>
  <c r="H38" i="2"/>
  <c r="G3" i="2"/>
  <c r="G38" i="2"/>
  <c r="C20" i="3"/>
  <c r="C22" i="3" s="1"/>
  <c r="N10" i="1"/>
  <c r="O80" i="2"/>
  <c r="D6" i="3" s="1"/>
  <c r="O59" i="2"/>
  <c r="C6" i="3" s="1"/>
  <c r="C7" i="3" s="1"/>
  <c r="P44" i="2"/>
  <c r="D20" i="3" l="1"/>
  <c r="D22" i="3" s="1"/>
  <c r="D32" i="3" s="1"/>
  <c r="K18" i="2"/>
  <c r="N11" i="1"/>
  <c r="D7" i="3"/>
  <c r="J18" i="2"/>
  <c r="S185" i="2"/>
  <c r="S164" i="2"/>
  <c r="S206" i="2"/>
  <c r="S86" i="2"/>
  <c r="M18" i="2"/>
  <c r="H18" i="2"/>
  <c r="R18" i="2"/>
  <c r="J32" i="3"/>
  <c r="J13" i="3"/>
  <c r="J23" i="3"/>
  <c r="J11" i="3"/>
  <c r="O101" i="2"/>
  <c r="E6" i="3" s="1"/>
  <c r="E7" i="3" s="1"/>
  <c r="G18" i="2"/>
  <c r="E20" i="3"/>
  <c r="E22" i="3" s="1"/>
  <c r="S80" i="2"/>
  <c r="P80" i="2"/>
  <c r="O6" i="2"/>
  <c r="I18" i="2"/>
  <c r="L18" i="2"/>
  <c r="K32" i="3"/>
  <c r="H32" i="3"/>
  <c r="H33" i="3" s="1"/>
  <c r="H11" i="3"/>
  <c r="K7" i="3"/>
  <c r="I7" i="3"/>
  <c r="H23" i="3"/>
  <c r="H13" i="3"/>
  <c r="P101" i="2"/>
  <c r="G7" i="3"/>
  <c r="F32" i="3"/>
  <c r="P27" i="2"/>
  <c r="P26" i="2"/>
  <c r="F11" i="3"/>
  <c r="F13" i="3"/>
  <c r="F23" i="3"/>
  <c r="C11" i="3"/>
  <c r="C13" i="3"/>
  <c r="G32" i="3"/>
  <c r="L10" i="3"/>
  <c r="N9" i="1"/>
  <c r="P3" i="2"/>
  <c r="S23" i="2"/>
  <c r="O3" i="2"/>
  <c r="O38" i="2"/>
  <c r="B6" i="3" s="1"/>
  <c r="B20" i="3"/>
  <c r="L5" i="3"/>
  <c r="M5" i="3" s="1"/>
  <c r="P59" i="2"/>
  <c r="S44" i="2"/>
  <c r="S59" i="2" s="1"/>
  <c r="N18" i="2"/>
  <c r="O8" i="2"/>
  <c r="P28" i="2"/>
  <c r="O5" i="2"/>
  <c r="P25" i="2"/>
  <c r="O4" i="2"/>
  <c r="P24" i="2"/>
  <c r="C23" i="3"/>
  <c r="C32" i="3"/>
  <c r="C33" i="3" s="1"/>
  <c r="D11" i="3" l="1"/>
  <c r="D13" i="3"/>
  <c r="D33" i="3"/>
  <c r="D23" i="3"/>
  <c r="S101" i="2"/>
  <c r="J33" i="3"/>
  <c r="J25" i="3"/>
  <c r="J14" i="3"/>
  <c r="F33" i="3"/>
  <c r="E32" i="3"/>
  <c r="E33" i="3" s="1"/>
  <c r="E23" i="3"/>
  <c r="E11" i="3"/>
  <c r="E13" i="3"/>
  <c r="I33" i="3"/>
  <c r="K33" i="3"/>
  <c r="K23" i="3"/>
  <c r="K11" i="3"/>
  <c r="K13" i="3"/>
  <c r="I23" i="3"/>
  <c r="I13" i="3"/>
  <c r="I11" i="3"/>
  <c r="H14" i="3"/>
  <c r="H25" i="3"/>
  <c r="G11" i="3"/>
  <c r="G13" i="3"/>
  <c r="G33" i="3"/>
  <c r="G23" i="3"/>
  <c r="S27" i="2"/>
  <c r="S7" i="2" s="1"/>
  <c r="P7" i="2"/>
  <c r="S26" i="2"/>
  <c r="S6" i="2" s="1"/>
  <c r="P6" i="2"/>
  <c r="F25" i="3"/>
  <c r="F14" i="3"/>
  <c r="P38" i="2"/>
  <c r="C14" i="3"/>
  <c r="C25" i="3"/>
  <c r="O18" i="2"/>
  <c r="N20" i="1"/>
  <c r="M10" i="3"/>
  <c r="S3" i="2"/>
  <c r="B22" i="3"/>
  <c r="L20" i="3"/>
  <c r="M20" i="3" s="1"/>
  <c r="S28" i="2"/>
  <c r="S8" i="2" s="1"/>
  <c r="P8" i="2"/>
  <c r="P5" i="2"/>
  <c r="S25" i="2"/>
  <c r="S5" i="2" s="1"/>
  <c r="S24" i="2"/>
  <c r="P4" i="2"/>
  <c r="L6" i="3"/>
  <c r="M6" i="3" s="1"/>
  <c r="B7" i="3"/>
  <c r="D25" i="3" l="1"/>
  <c r="D14" i="3"/>
  <c r="O18" i="1"/>
  <c r="J29" i="3"/>
  <c r="P18" i="1" s="1"/>
  <c r="J30" i="3"/>
  <c r="Q18" i="1" s="1"/>
  <c r="J26" i="3"/>
  <c r="E14" i="3"/>
  <c r="E25" i="3"/>
  <c r="K14" i="3"/>
  <c r="K25" i="3"/>
  <c r="H30" i="3"/>
  <c r="Q15" i="1" s="1"/>
  <c r="H26" i="3"/>
  <c r="I25" i="3"/>
  <c r="I14" i="3"/>
  <c r="G25" i="3"/>
  <c r="H29" i="3"/>
  <c r="P15" i="1" s="1"/>
  <c r="O15" i="1"/>
  <c r="G14" i="3"/>
  <c r="F29" i="3"/>
  <c r="P13" i="1" s="1"/>
  <c r="F30" i="3"/>
  <c r="Q13" i="1" s="1"/>
  <c r="O13" i="1"/>
  <c r="F26" i="3"/>
  <c r="P18" i="2"/>
  <c r="C29" i="3"/>
  <c r="P10" i="1" s="1"/>
  <c r="C30" i="3"/>
  <c r="Q10" i="1" s="1"/>
  <c r="O10" i="1"/>
  <c r="C26" i="3"/>
  <c r="B32" i="3"/>
  <c r="B23" i="3"/>
  <c r="L22" i="3"/>
  <c r="D29" i="3"/>
  <c r="P11" i="1" s="1"/>
  <c r="D30" i="3"/>
  <c r="Q11" i="1" s="1"/>
  <c r="O11" i="1"/>
  <c r="D26" i="3"/>
  <c r="B13" i="3"/>
  <c r="L7" i="3"/>
  <c r="B11" i="3"/>
  <c r="S4" i="2"/>
  <c r="S18" i="2" s="1"/>
  <c r="S38" i="2"/>
  <c r="E26" i="3" l="1"/>
  <c r="O12" i="1"/>
  <c r="E30" i="3"/>
  <c r="Q12" i="1" s="1"/>
  <c r="E29" i="3"/>
  <c r="P12" i="1" s="1"/>
  <c r="K29" i="3"/>
  <c r="P19" i="1" s="1"/>
  <c r="K30" i="3"/>
  <c r="Q19" i="1" s="1"/>
  <c r="O19" i="1"/>
  <c r="K26" i="3"/>
  <c r="I26" i="3"/>
  <c r="I29" i="3"/>
  <c r="P16" i="1" s="1"/>
  <c r="I30" i="3"/>
  <c r="Q16" i="1" s="1"/>
  <c r="G29" i="3"/>
  <c r="P14" i="1" s="1"/>
  <c r="O14" i="1"/>
  <c r="O16" i="1"/>
  <c r="G30" i="3"/>
  <c r="Q14" i="1" s="1"/>
  <c r="G26" i="3"/>
  <c r="B33" i="3"/>
  <c r="L32" i="3"/>
  <c r="L23" i="3"/>
  <c r="M22" i="3"/>
  <c r="M23" i="3"/>
  <c r="L13" i="3"/>
  <c r="B14" i="3"/>
  <c r="B25" i="3"/>
  <c r="M11" i="3"/>
  <c r="L11" i="3"/>
  <c r="M7" i="3"/>
  <c r="M32" i="3" l="1"/>
  <c r="L33" i="3"/>
  <c r="M33" i="3"/>
  <c r="L14" i="3"/>
  <c r="M14" i="3"/>
  <c r="M13" i="3"/>
  <c r="B29" i="3"/>
  <c r="B30" i="3"/>
  <c r="O9" i="1"/>
  <c r="L25" i="3"/>
  <c r="B26" i="3"/>
  <c r="L29" i="3" l="1"/>
  <c r="P9" i="1"/>
  <c r="L30" i="3"/>
  <c r="Q9" i="1"/>
  <c r="M25" i="3"/>
  <c r="L26" i="3"/>
  <c r="M26" i="3"/>
  <c r="O20" i="1"/>
  <c r="M29" i="3" l="1"/>
  <c r="P20" i="1"/>
  <c r="M30" i="3"/>
  <c r="Q20" i="1"/>
</calcChain>
</file>

<file path=xl/sharedStrings.xml><?xml version="1.0" encoding="utf-8"?>
<sst xmlns="http://schemas.openxmlformats.org/spreadsheetml/2006/main" count="414" uniqueCount="136">
  <si>
    <t>MERCHANDISE SALES FORECAST - SETUP</t>
  </si>
  <si>
    <t>Blue cells = inputs. Light grey/pink background = input fields. All retail prices INCLUDE VAT. Costs are shown EXCLUDING VAT. Edit input cells and all other sheets update automatically.</t>
  </si>
  <si>
    <t>Artist:</t>
  </si>
  <si>
    <t>UB40 feat. Ali Campbell</t>
  </si>
  <si>
    <t>Tour Name:</t>
  </si>
  <si>
    <t>UB40 SA Tour 2026</t>
  </si>
  <si>
    <t>Currency:</t>
  </si>
  <si>
    <t>R</t>
  </si>
  <si>
    <t>Report Currency:</t>
  </si>
  <si>
    <t>GBP</t>
  </si>
  <si>
    <t>(e.g. USD, GBP, EUR)</t>
  </si>
  <si>
    <t>Party 1:</t>
  </si>
  <si>
    <t>Artist</t>
  </si>
  <si>
    <t>VAT Rate:</t>
  </si>
  <si>
    <t>Exchange Rate:</t>
  </si>
  <si>
    <t>(local currency per 1 report currency)</t>
  </si>
  <si>
    <t>Party 2:</t>
  </si>
  <si>
    <t>Promoter</t>
  </si>
  <si>
    <t>(Profit Share)</t>
  </si>
  <si>
    <t>EVENT DETAILS &amp; COSTS</t>
  </si>
  <si>
    <t>Date</t>
  </si>
  <si>
    <t>City</t>
  </si>
  <si>
    <t>Venue</t>
  </si>
  <si>
    <t>Capacity</t>
  </si>
  <si>
    <t>Est.
Attendance</t>
  </si>
  <si>
    <t># Stalls</t>
  </si>
  <si>
    <t>Spend
/Head
(incl VAT)</t>
  </si>
  <si>
    <t>Gross
Target
(incl VAT)</t>
  </si>
  <si>
    <t>Flights &amp;
Accom</t>
  </si>
  <si>
    <t>Other
Costs</t>
  </si>
  <si>
    <t>Sales Ops
Costs</t>
  </si>
  <si>
    <t>CC Fee %</t>
  </si>
  <si>
    <t>COGS
(ex VAT)</t>
  </si>
  <si>
    <t>Net Profit
(ex VAT)</t>
  </si>
  <si>
    <t>Cape Town</t>
  </si>
  <si>
    <t>Grand Arena at GrandWest</t>
  </si>
  <si>
    <t>Durban</t>
  </si>
  <si>
    <t>Durban ICC</t>
  </si>
  <si>
    <t>Pretoria</t>
  </si>
  <si>
    <t>SunBet Arena Time Square</t>
  </si>
  <si>
    <t>ONLINE SALES (Pre-Show &amp; Post-Show)</t>
  </si>
  <si>
    <t>Pre-Show</t>
  </si>
  <si>
    <t>Post-Show</t>
  </si>
  <si>
    <t>TOTALS</t>
  </si>
  <si>
    <t>Spend/Head and Gross Target are VAT-inclusive. All event costs (Flights, Other, Sales Ops) are ex VAT. CC Fee is applied to gross (incl VAT) revenue. Green columns (N-Q) are calculated from the P&amp;L Summary.</t>
  </si>
  <si>
    <t>PRODUCT CATALOG &amp; MANUFACTURING COSTS</t>
  </si>
  <si>
    <t>Retail prices INCLUDE VAT. Manufacturing/import costs are EXCLUDING VAT. Size %s must total 100% for apparel (column M check). % of Total Sales should sum to 100%.</t>
  </si>
  <si>
    <t>#</t>
  </si>
  <si>
    <t>Product Name</t>
  </si>
  <si>
    <t>Category</t>
  </si>
  <si>
    <t>Retail
Price
(incl VAT)</t>
  </si>
  <si>
    <t>% of Total
Sales</t>
  </si>
  <si>
    <t>XS %</t>
  </si>
  <si>
    <t>S %</t>
  </si>
  <si>
    <t>M %</t>
  </si>
  <si>
    <t>L %</t>
  </si>
  <si>
    <t>XL %</t>
  </si>
  <si>
    <t>XXL %</t>
  </si>
  <si>
    <t>XXXL %</t>
  </si>
  <si>
    <t>Size %
Check</t>
  </si>
  <si>
    <t>Garment/
Product</t>
  </si>
  <si>
    <t>Branding
Cost</t>
  </si>
  <si>
    <t>Packing
Cost</t>
  </si>
  <si>
    <t>Import
Duty</t>
  </si>
  <si>
    <t>Shipping
/Unit</t>
  </si>
  <si>
    <t>Total
Unit Cost</t>
  </si>
  <si>
    <t>Apparel</t>
  </si>
  <si>
    <t>Cap</t>
  </si>
  <si>
    <t>Accessory</t>
  </si>
  <si>
    <t>Tote</t>
  </si>
  <si>
    <t>TOTAL % OF SALES:</t>
  </si>
  <si>
    <t>AVG UNIT COST:</t>
  </si>
  <si>
    <t>(Should equal 100%)</t>
  </si>
  <si>
    <t>TOUR TOTALS - ALL EVENTS COMBINED</t>
  </si>
  <si>
    <t>Product</t>
  </si>
  <si>
    <t>Price
(incl VAT)</t>
  </si>
  <si>
    <t>% Sales</t>
  </si>
  <si>
    <t>Target Rev</t>
  </si>
  <si>
    <t>Total Units</t>
  </si>
  <si>
    <t>XS</t>
  </si>
  <si>
    <t>S</t>
  </si>
  <si>
    <t>M</t>
  </si>
  <si>
    <t>L</t>
  </si>
  <si>
    <t>XL</t>
  </si>
  <si>
    <t>XXL</t>
  </si>
  <si>
    <t>XXXL</t>
  </si>
  <si>
    <t>Rev
(incl VAT)</t>
  </si>
  <si>
    <t>VAT</t>
  </si>
  <si>
    <t>Rev
(ex VAT)</t>
  </si>
  <si>
    <t>Unit Cost</t>
  </si>
  <si>
    <t>COGS</t>
  </si>
  <si>
    <t>Gross
Profit</t>
  </si>
  <si>
    <t>GRAND TOTAL</t>
  </si>
  <si>
    <t>GROSS TARGET (incl VAT):</t>
  </si>
  <si>
    <t>Attendance:</t>
  </si>
  <si>
    <t>Stalls:</t>
  </si>
  <si>
    <t>Spend/Head:</t>
  </si>
  <si>
    <t>Flights:</t>
  </si>
  <si>
    <t>Sales Ops:</t>
  </si>
  <si>
    <t>CC Fee:</t>
  </si>
  <si>
    <t>TOTAL</t>
  </si>
  <si>
    <t>COST CATEGORY</t>
  </si>
  <si>
    <t>TOUR
TOTAL</t>
  </si>
  <si>
    <t>REVENUE</t>
  </si>
  <si>
    <t>Gross Revenue (incl VAT)</t>
  </si>
  <si>
    <t>Less: VAT</t>
  </si>
  <si>
    <t>Net Revenue (ex VAT)</t>
  </si>
  <si>
    <t>COST OF GOODS SOLD</t>
  </si>
  <si>
    <t>Manufacturing Cost (COGS)</t>
  </si>
  <si>
    <t>COGS as % of Net Revenue</t>
  </si>
  <si>
    <t>GROSS PROFIT</t>
  </si>
  <si>
    <t>Gross Margin %</t>
  </si>
  <si>
    <t>OPERATING COSTS</t>
  </si>
  <si>
    <t>Flights &amp; Accommodation</t>
  </si>
  <si>
    <t>Other Costs</t>
  </si>
  <si>
    <t>Sales Operations</t>
  </si>
  <si>
    <t>Credit Card Fees (on gross incl VAT)</t>
  </si>
  <si>
    <t>TOTAL OPERATING COSTS</t>
  </si>
  <si>
    <t>Operating Costs as % of Net Revenue</t>
  </si>
  <si>
    <t>NET PROFIT</t>
  </si>
  <si>
    <t>Net Margin %</t>
  </si>
  <si>
    <t>PROFIT SHARE</t>
  </si>
  <si>
    <t>TOTAL ALL-IN COSTS</t>
  </si>
  <si>
    <t>All-in Cost as % of Net Revenue</t>
  </si>
  <si>
    <t>KEY TOUR METRICS</t>
  </si>
  <si>
    <t>Total Live Events</t>
  </si>
  <si>
    <t>Total Online Events</t>
  </si>
  <si>
    <t>Total Est. Attendance</t>
  </si>
  <si>
    <t>Total Merch Stalls</t>
  </si>
  <si>
    <t>Avg Spend/Head (incl VAT)</t>
  </si>
  <si>
    <t>Total Gross Target (incl VAT)</t>
  </si>
  <si>
    <t>VAT Rate</t>
  </si>
  <si>
    <t>Total Products</t>
  </si>
  <si>
    <t>Sing Song Black tee</t>
  </si>
  <si>
    <t>Kingston Black Tee</t>
  </si>
  <si>
    <t>Red Red Wine White 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</si>
</sst>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dd\ mmm\ yyyy"/>
    <numFmt numFmtId="166" formatCode="_(\R* #,##0_);_(\R* \(#,##0\);_(\R* \-??_);_(@_)"/>
    <numFmt numFmtId="167" formatCode="_(\R* #,##0.00_);_(\R* \(#,##0.00\);_(\R* \-??_);_(@_)"/>
    <numFmt numFmtId="168" formatCode="_(* #,##0_);_(* \(#,##0\);_(* \-??_);_(@_)"/>
    <numFmt numFmtId="169" formatCode="_-[$£-809]* #,##0_-;\-[$£-809]* #,##0_-;_-[$£-809]* &quot;-&quot;??_-;_-@_-"/>
  </numFmts>
  <fonts count="2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9"/>
      <color rgb="FF666666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1B8C3A"/>
      <name val="Arial"/>
      <family val="2"/>
      <charset val="1"/>
    </font>
    <font>
      <sz val="10"/>
      <color theme="1"/>
      <name val="Calibri"/>
      <family val="2"/>
      <charset val="1"/>
    </font>
    <font>
      <sz val="10"/>
      <name val="Arial"/>
      <family val="2"/>
      <charset val="1"/>
    </font>
    <font>
      <sz val="10"/>
      <color rgb="FFCC0000"/>
      <name val="Arial"/>
      <family val="2"/>
      <charset val="1"/>
    </font>
    <font>
      <sz val="10"/>
      <color rgb="FF1B8C3A"/>
      <name val="Arial"/>
      <family val="2"/>
      <charset val="1"/>
    </font>
    <font>
      <b/>
      <sz val="10"/>
      <color rgb="FF1565C0"/>
      <name val="Arial"/>
      <family val="2"/>
      <charset val="1"/>
    </font>
    <font>
      <b/>
      <sz val="10"/>
      <color rgb="FF34C759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0000FF"/>
      <name val="Arial"/>
      <family val="2"/>
      <charset val="1"/>
    </font>
    <font>
      <b/>
      <sz val="10"/>
      <color rgb="FFCC0000"/>
      <name val="Arial"/>
      <family val="2"/>
      <charset val="1"/>
    </font>
    <font>
      <b/>
      <sz val="13"/>
      <color rgb="FFFFFFFF"/>
      <name val="Arial"/>
      <family val="2"/>
      <charset val="1"/>
    </font>
    <font>
      <sz val="10"/>
      <color rgb="FF996600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1"/>
      <color rgb="FFFE3D3E"/>
      <name val="Arial"/>
      <family val="2"/>
      <charset val="1"/>
    </font>
    <font>
      <b/>
      <sz val="9"/>
      <color rgb="FF555555"/>
      <name val="Arial"/>
      <family val="2"/>
      <charset val="1"/>
    </font>
    <font>
      <sz val="9"/>
      <color rgb="FF333333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F2F2"/>
        <bgColor rgb="FFF5F5F5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F2F2F2"/>
      </patternFill>
    </fill>
    <fill>
      <patternFill patternType="solid">
        <fgColor rgb="FFFFF8E1"/>
        <bgColor rgb="FFFFF3E0"/>
      </patternFill>
    </fill>
    <fill>
      <patternFill patternType="solid">
        <fgColor rgb="FF2A2A2A"/>
        <bgColor rgb="FF333333"/>
      </patternFill>
    </fill>
    <fill>
      <patternFill patternType="solid">
        <fgColor rgb="FF4A4A4A"/>
        <bgColor rgb="FF555555"/>
      </patternFill>
    </fill>
    <fill>
      <patternFill patternType="solid">
        <fgColor rgb="FFFE3D3E"/>
        <bgColor rgb="FFFF6D00"/>
      </patternFill>
    </fill>
    <fill>
      <patternFill patternType="solid">
        <fgColor rgb="FFE8E8E8"/>
        <bgColor rgb="FFE8F5E9"/>
      </patternFill>
    </fill>
    <fill>
      <patternFill patternType="solid">
        <fgColor rgb="FFFDEDED"/>
        <bgColor rgb="FFFFF3E0"/>
      </patternFill>
    </fill>
    <fill>
      <patternFill patternType="solid">
        <fgColor rgb="FF1565C0"/>
        <bgColor rgb="FF3366FF"/>
      </patternFill>
    </fill>
    <fill>
      <patternFill patternType="solid">
        <fgColor rgb="FFFFF3E0"/>
        <bgColor rgb="FFFFF8E1"/>
      </patternFill>
    </fill>
    <fill>
      <patternFill patternType="solid">
        <fgColor rgb="FF34C759"/>
        <bgColor rgb="FF1B8C3A"/>
      </patternFill>
    </fill>
    <fill>
      <patternFill patternType="solid">
        <fgColor rgb="FFB8860B"/>
        <bgColor rgb="FF996600"/>
      </patternFill>
    </fill>
    <fill>
      <patternFill patternType="solid">
        <fgColor rgb="FF2E7D32"/>
        <bgColor rgb="FF1B8C3A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5F5F5"/>
      </patternFill>
    </fill>
    <fill>
      <patternFill patternType="solid">
        <fgColor rgb="FFF5F5F5"/>
        <bgColor rgb="FFF7F7F7"/>
      </patternFill>
    </fill>
    <fill>
      <patternFill patternType="solid">
        <fgColor rgb="FFD4F5DB"/>
        <bgColor rgb="FFE8F5E9"/>
      </patternFill>
    </fill>
    <fill>
      <patternFill patternType="solid">
        <fgColor rgb="FFFF0000"/>
        <bgColor rgb="FF003300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rgb="FF3366FF"/>
      </patternFill>
    </fill>
    <fill>
      <patternFill patternType="solid">
        <fgColor theme="1"/>
        <bgColor rgb="FFE8F5E9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/>
    <xf numFmtId="9" fontId="4" fillId="5" borderId="1" xfId="0" applyNumberFormat="1" applyFont="1" applyFill="1" applyBorder="1"/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3" fontId="4" fillId="3" borderId="1" xfId="0" applyNumberFormat="1" applyFont="1" applyFill="1" applyBorder="1"/>
    <xf numFmtId="166" fontId="9" fillId="10" borderId="1" xfId="0" applyNumberFormat="1" applyFont="1" applyFill="1" applyBorder="1" applyAlignment="1">
      <alignment horizontal="right" vertical="center"/>
    </xf>
    <xf numFmtId="166" fontId="4" fillId="11" borderId="1" xfId="0" applyNumberFormat="1" applyFont="1" applyFill="1" applyBorder="1"/>
    <xf numFmtId="166" fontId="4" fillId="10" borderId="1" xfId="0" applyNumberFormat="1" applyFont="1" applyFill="1" applyBorder="1"/>
    <xf numFmtId="164" fontId="4" fillId="11" borderId="1" xfId="0" applyNumberFormat="1" applyFont="1" applyFill="1" applyBorder="1"/>
    <xf numFmtId="166" fontId="10" fillId="5" borderId="1" xfId="0" applyNumberFormat="1" applyFont="1" applyFill="1" applyBorder="1" applyAlignment="1">
      <alignment horizontal="right" vertical="center"/>
    </xf>
    <xf numFmtId="166" fontId="11" fillId="5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165" fontId="4" fillId="4" borderId="1" xfId="0" applyNumberFormat="1" applyFont="1" applyFill="1" applyBorder="1"/>
    <xf numFmtId="166" fontId="4" fillId="4" borderId="1" xfId="0" applyNumberFormat="1" applyFont="1" applyFill="1" applyBorder="1"/>
    <xf numFmtId="3" fontId="4" fillId="4" borderId="1" xfId="0" applyNumberFormat="1" applyFont="1" applyFill="1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3" fontId="6" fillId="2" borderId="1" xfId="0" applyNumberFormat="1" applyFont="1" applyFill="1" applyBorder="1" applyAlignment="1">
      <alignment horizontal="right" vertical="center"/>
    </xf>
    <xf numFmtId="166" fontId="6" fillId="2" borderId="1" xfId="0" applyNumberFormat="1" applyFont="1" applyFill="1" applyBorder="1" applyAlignment="1">
      <alignment horizontal="right" vertical="center"/>
    </xf>
    <xf numFmtId="166" fontId="13" fillId="2" borderId="1" xfId="0" applyNumberFormat="1" applyFont="1" applyFill="1" applyBorder="1" applyAlignment="1">
      <alignment horizontal="right" vertical="center"/>
    </xf>
    <xf numFmtId="0" fontId="14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164" fontId="15" fillId="3" borderId="1" xfId="0" applyNumberFormat="1" applyFont="1" applyFill="1" applyBorder="1" applyAlignment="1">
      <alignment wrapText="1"/>
    </xf>
    <xf numFmtId="164" fontId="15" fillId="3" borderId="1" xfId="0" applyNumberFormat="1" applyFont="1" applyFill="1" applyBorder="1"/>
    <xf numFmtId="0" fontId="9" fillId="10" borderId="1" xfId="0" applyFont="1" applyFill="1" applyBorder="1" applyAlignment="1">
      <alignment horizontal="center" vertical="center"/>
    </xf>
    <xf numFmtId="167" fontId="10" fillId="11" borderId="1" xfId="0" applyNumberFormat="1" applyFont="1" applyFill="1" applyBorder="1" applyAlignment="1">
      <alignment horizontal="right" vertical="center"/>
    </xf>
    <xf numFmtId="166" fontId="10" fillId="11" borderId="1" xfId="0" applyNumberFormat="1" applyFont="1" applyFill="1" applyBorder="1" applyAlignment="1">
      <alignment horizontal="right" vertical="center"/>
    </xf>
    <xf numFmtId="167" fontId="10" fillId="13" borderId="1" xfId="0" applyNumberFormat="1" applyFont="1" applyFill="1" applyBorder="1" applyAlignment="1">
      <alignment horizontal="right" vertical="center"/>
    </xf>
    <xf numFmtId="167" fontId="9" fillId="10" borderId="1" xfId="0" applyNumberFormat="1" applyFont="1" applyFill="1" applyBorder="1" applyAlignment="1">
      <alignment horizontal="right" vertical="center"/>
    </xf>
    <xf numFmtId="166" fontId="10" fillId="13" borderId="1" xfId="0" applyNumberFormat="1" applyFont="1" applyFill="1" applyBorder="1" applyAlignment="1">
      <alignment horizontal="right" vertical="center"/>
    </xf>
    <xf numFmtId="164" fontId="16" fillId="0" borderId="1" xfId="0" applyNumberFormat="1" applyFont="1" applyBorder="1"/>
    <xf numFmtId="166" fontId="16" fillId="0" borderId="1" xfId="0" applyNumberFormat="1" applyFont="1" applyBorder="1"/>
    <xf numFmtId="0" fontId="2" fillId="0" borderId="0" xfId="0" applyFont="1" applyAlignment="1">
      <alignment horizontal="right" vertical="center"/>
    </xf>
    <xf numFmtId="0" fontId="14" fillId="15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left" vertical="center"/>
    </xf>
    <xf numFmtId="0" fontId="9" fillId="17" borderId="1" xfId="0" applyFont="1" applyFill="1" applyBorder="1" applyAlignment="1">
      <alignment horizontal="center" vertical="center"/>
    </xf>
    <xf numFmtId="166" fontId="9" fillId="17" borderId="1" xfId="0" applyNumberFormat="1" applyFont="1" applyFill="1" applyBorder="1" applyAlignment="1">
      <alignment horizontal="right" vertical="center"/>
    </xf>
    <xf numFmtId="164" fontId="9" fillId="17" borderId="1" xfId="0" applyNumberFormat="1" applyFont="1" applyFill="1" applyBorder="1" applyAlignment="1">
      <alignment horizontal="right" vertical="center"/>
    </xf>
    <xf numFmtId="3" fontId="9" fillId="17" borderId="1" xfId="0" applyNumberFormat="1" applyFont="1" applyFill="1" applyBorder="1" applyAlignment="1">
      <alignment horizontal="right" vertical="center"/>
    </xf>
    <xf numFmtId="166" fontId="18" fillId="17" borderId="1" xfId="0" applyNumberFormat="1" applyFont="1" applyFill="1" applyBorder="1" applyAlignment="1">
      <alignment horizontal="right" vertical="center"/>
    </xf>
    <xf numFmtId="166" fontId="10" fillId="17" borderId="1" xfId="0" applyNumberFormat="1" applyFont="1" applyFill="1" applyBorder="1" applyAlignment="1">
      <alignment horizontal="right" vertical="center"/>
    </xf>
    <xf numFmtId="166" fontId="7" fillId="17" borderId="1" xfId="0" applyNumberFormat="1" applyFont="1" applyFill="1" applyBorder="1" applyAlignment="1">
      <alignment horizontal="right" vertical="center"/>
    </xf>
    <xf numFmtId="0" fontId="9" fillId="18" borderId="1" xfId="0" applyFont="1" applyFill="1" applyBorder="1" applyAlignment="1">
      <alignment horizontal="left" vertical="center"/>
    </xf>
    <xf numFmtId="0" fontId="9" fillId="18" borderId="1" xfId="0" applyFont="1" applyFill="1" applyBorder="1" applyAlignment="1">
      <alignment horizontal="center" vertical="center"/>
    </xf>
    <xf numFmtId="166" fontId="9" fillId="18" borderId="1" xfId="0" applyNumberFormat="1" applyFont="1" applyFill="1" applyBorder="1" applyAlignment="1">
      <alignment horizontal="right" vertical="center"/>
    </xf>
    <xf numFmtId="164" fontId="9" fillId="18" borderId="1" xfId="0" applyNumberFormat="1" applyFont="1" applyFill="1" applyBorder="1" applyAlignment="1">
      <alignment horizontal="right" vertical="center"/>
    </xf>
    <xf numFmtId="3" fontId="9" fillId="18" borderId="1" xfId="0" applyNumberFormat="1" applyFont="1" applyFill="1" applyBorder="1" applyAlignment="1">
      <alignment horizontal="right" vertical="center"/>
    </xf>
    <xf numFmtId="166" fontId="18" fillId="18" borderId="1" xfId="0" applyNumberFormat="1" applyFont="1" applyFill="1" applyBorder="1" applyAlignment="1">
      <alignment horizontal="right" vertical="center"/>
    </xf>
    <xf numFmtId="166" fontId="10" fillId="18" borderId="1" xfId="0" applyNumberFormat="1" applyFont="1" applyFill="1" applyBorder="1" applyAlignment="1">
      <alignment horizontal="right" vertical="center"/>
    </xf>
    <xf numFmtId="166" fontId="7" fillId="18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21" fillId="19" borderId="0" xfId="0" applyFont="1" applyFill="1" applyAlignment="1">
      <alignment horizontal="right" vertical="center"/>
    </xf>
    <xf numFmtId="3" fontId="22" fillId="19" borderId="0" xfId="0" applyNumberFormat="1" applyFont="1" applyFill="1" applyAlignment="1">
      <alignment horizontal="left" vertical="center"/>
    </xf>
    <xf numFmtId="0" fontId="0" fillId="19" borderId="0" xfId="0" applyFill="1"/>
    <xf numFmtId="166" fontId="22" fillId="19" borderId="0" xfId="0" applyNumberFormat="1" applyFont="1" applyFill="1" applyAlignment="1">
      <alignment horizontal="left" vertical="center"/>
    </xf>
    <xf numFmtId="164" fontId="22" fillId="19" borderId="0" xfId="0" applyNumberFormat="1" applyFont="1" applyFill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/>
    <xf numFmtId="0" fontId="23" fillId="17" borderId="1" xfId="0" applyFont="1" applyFill="1" applyBorder="1" applyAlignment="1">
      <alignment horizontal="left" vertical="center"/>
    </xf>
    <xf numFmtId="166" fontId="23" fillId="17" borderId="1" xfId="0" applyNumberFormat="1" applyFont="1" applyFill="1" applyBorder="1" applyAlignment="1">
      <alignment horizontal="right" vertical="center"/>
    </xf>
    <xf numFmtId="0" fontId="18" fillId="6" borderId="1" xfId="0" applyFont="1" applyFill="1" applyBorder="1" applyAlignment="1">
      <alignment horizontal="left" vertical="center"/>
    </xf>
    <xf numFmtId="166" fontId="18" fillId="6" borderId="1" xfId="0" applyNumberFormat="1" applyFont="1" applyFill="1" applyBorder="1" applyAlignment="1">
      <alignment horizontal="right" vertical="center"/>
    </xf>
    <xf numFmtId="0" fontId="24" fillId="10" borderId="1" xfId="0" applyFont="1" applyFill="1" applyBorder="1" applyAlignment="1">
      <alignment horizontal="left" vertical="center"/>
    </xf>
    <xf numFmtId="166" fontId="24" fillId="10" borderId="1" xfId="0" applyNumberFormat="1" applyFont="1" applyFill="1" applyBorder="1" applyAlignment="1">
      <alignment horizontal="right" vertical="center"/>
    </xf>
    <xf numFmtId="0" fontId="10" fillId="17" borderId="1" xfId="0" applyFont="1" applyFill="1" applyBorder="1" applyAlignment="1">
      <alignment horizontal="left" vertical="center"/>
    </xf>
    <xf numFmtId="164" fontId="23" fillId="17" borderId="1" xfId="0" applyNumberFormat="1" applyFont="1" applyFill="1" applyBorder="1" applyAlignment="1">
      <alignment horizontal="right" vertical="center"/>
    </xf>
    <xf numFmtId="0" fontId="7" fillId="20" borderId="1" xfId="0" applyFont="1" applyFill="1" applyBorder="1" applyAlignment="1">
      <alignment horizontal="left" vertical="center"/>
    </xf>
    <xf numFmtId="166" fontId="7" fillId="20" borderId="1" xfId="0" applyNumberFormat="1" applyFont="1" applyFill="1" applyBorder="1" applyAlignment="1">
      <alignment horizontal="right" vertical="center"/>
    </xf>
    <xf numFmtId="3" fontId="25" fillId="0" borderId="0" xfId="0" applyNumberFormat="1" applyFont="1" applyAlignment="1">
      <alignment horizontal="left" vertical="center"/>
    </xf>
    <xf numFmtId="166" fontId="25" fillId="0" borderId="0" xfId="0" applyNumberFormat="1" applyFont="1" applyAlignment="1">
      <alignment horizontal="left" vertical="center"/>
    </xf>
    <xf numFmtId="164" fontId="25" fillId="0" borderId="0" xfId="0" applyNumberFormat="1" applyFont="1" applyAlignment="1">
      <alignment horizontal="left" vertical="center"/>
    </xf>
    <xf numFmtId="0" fontId="14" fillId="23" borderId="1" xfId="0" applyFont="1" applyFill="1" applyBorder="1" applyAlignment="1">
      <alignment horizontal="center" vertical="center" wrapText="1"/>
    </xf>
    <xf numFmtId="169" fontId="26" fillId="24" borderId="1" xfId="0" applyNumberFormat="1" applyFont="1" applyFill="1" applyBorder="1" applyAlignment="1">
      <alignment horizontal="right" vertical="center"/>
    </xf>
    <xf numFmtId="169" fontId="27" fillId="24" borderId="1" xfId="0" applyNumberFormat="1" applyFont="1" applyFill="1" applyBorder="1" applyAlignment="1">
      <alignment horizontal="right" vertical="center"/>
    </xf>
    <xf numFmtId="164" fontId="27" fillId="23" borderId="1" xfId="0" applyNumberFormat="1" applyFont="1" applyFill="1" applyBorder="1" applyAlignment="1">
      <alignment horizontal="right" vertical="center"/>
    </xf>
    <xf numFmtId="168" fontId="27" fillId="24" borderId="1" xfId="0" applyNumberFormat="1" applyFont="1" applyFill="1" applyBorder="1" applyAlignment="1">
      <alignment horizontal="right" vertical="center"/>
    </xf>
    <xf numFmtId="166" fontId="26" fillId="2" borderId="1" xfId="0" applyNumberFormat="1" applyFont="1" applyFill="1" applyBorder="1" applyAlignment="1">
      <alignment horizontal="right" vertical="center"/>
    </xf>
    <xf numFmtId="166" fontId="27" fillId="2" borderId="1" xfId="0" applyNumberFormat="1" applyFont="1" applyFill="1" applyBorder="1" applyAlignment="1">
      <alignment horizontal="right" vertical="center"/>
    </xf>
    <xf numFmtId="0" fontId="26" fillId="0" borderId="0" xfId="0" applyFont="1"/>
    <xf numFmtId="0" fontId="27" fillId="7" borderId="1" xfId="0" applyFont="1" applyFill="1" applyBorder="1"/>
    <xf numFmtId="164" fontId="27" fillId="2" borderId="1" xfId="0" applyNumberFormat="1" applyFont="1" applyFill="1" applyBorder="1" applyAlignment="1">
      <alignment horizontal="right" vertical="center"/>
    </xf>
    <xf numFmtId="166" fontId="20" fillId="2" borderId="0" xfId="0" applyNumberFormat="1" applyFont="1" applyFill="1" applyAlignment="1">
      <alignment horizontal="right" vertical="center"/>
    </xf>
    <xf numFmtId="0" fontId="0" fillId="0" borderId="0" xfId="0"/>
    <xf numFmtId="0" fontId="6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horizontal="left" vertical="center"/>
    </xf>
    <xf numFmtId="0" fontId="19" fillId="21" borderId="0" xfId="0" applyFont="1" applyFill="1" applyAlignment="1">
      <alignment horizontal="left" vertical="center"/>
    </xf>
    <xf numFmtId="0" fontId="0" fillId="22" borderId="0" xfId="0" applyFill="1"/>
    <xf numFmtId="0" fontId="17" fillId="14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164" fontId="4" fillId="6" borderId="1" xfId="0" applyNumberFormat="1" applyFont="1" applyFill="1" applyBorder="1"/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/>
    <xf numFmtId="0" fontId="4" fillId="3" borderId="1" xfId="0" applyFont="1" applyFill="1" applyBorder="1"/>
    <xf numFmtId="0" fontId="4" fillId="5" borderId="1" xfId="0" applyFont="1" applyFill="1" applyBorder="1"/>
    <xf numFmtId="0" fontId="6" fillId="12" borderId="0" xfId="0" applyFont="1" applyFill="1" applyAlignment="1">
      <alignment horizontal="center" vertical="center"/>
    </xf>
    <xf numFmtId="4" fontId="4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996600"/>
      <rgbColor rgb="FF800080"/>
      <rgbColor rgb="FF008080"/>
      <rgbColor rgb="FFB0B0B0"/>
      <rgbColor rgb="FF555555"/>
      <rgbColor rgb="FF9999FF"/>
      <rgbColor rgb="FF993366"/>
      <rgbColor rgb="FFFFF8E1"/>
      <rgbColor rgb="FFE3F2FD"/>
      <rgbColor rgb="FF660066"/>
      <rgbColor rgb="FFFE3D3E"/>
      <rgbColor rgb="FF1565C0"/>
      <rgbColor rgb="FFE8E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4F5DB"/>
      <rgbColor rgb="FFFFF3E0"/>
      <rgbColor rgb="FFF2F2F2"/>
      <rgbColor rgb="FFF5F5F5"/>
      <rgbColor rgb="FFF7F7F7"/>
      <rgbColor rgb="FFFDEDED"/>
      <rgbColor rgb="FF3366FF"/>
      <rgbColor rgb="FF34C759"/>
      <rgbColor rgb="FF99CC00"/>
      <rgbColor rgb="FFFFCC00"/>
      <rgbColor rgb="FFB8860B"/>
      <rgbColor rgb="FFFF6D00"/>
      <rgbColor rgb="FF666666"/>
      <rgbColor rgb="FF969696"/>
      <rgbColor rgb="FF003366"/>
      <rgbColor rgb="FF1B8C3A"/>
      <rgbColor rgb="FF003300"/>
      <rgbColor rgb="FF2A2A2A"/>
      <rgbColor rgb="FF993300"/>
      <rgbColor rgb="FF993366"/>
      <rgbColor rgb="FF4A4A4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149400</xdr:colOff>
      <xdr:row>0</xdr:row>
      <xdr:rowOff>15120</xdr:rowOff>
    </xdr:from>
    <xdr:to>
      <xdr:col>18</xdr:col>
      <xdr:colOff>651600</xdr:colOff>
      <xdr:row>0</xdr:row>
      <xdr:rowOff>546120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30880" y="15120"/>
          <a:ext cx="502200" cy="53100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502200</xdr:colOff>
      <xdr:row>0</xdr:row>
      <xdr:rowOff>531000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1240" y="0"/>
          <a:ext cx="502200" cy="53100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AA91D92-183C-F648-B089-072623116CE1}">
  <we:reference id="29673e3c-d826-4f00-92ee-162334a52b1a" version="1.0.0.8" store="EXCatalog" storeType="EXCatalog"/>
  <we:alternateReferences>
    <we:reference id="WA200009404" version="1.0.0.8" store="en-GB" storeType="OMEX"/>
  </we:alternateReferences>
  <we:properties>
    <we:property name="claude.fileId" value="&quot;0a4ca30f-00e3-49f3-ab1a-3ca1b15f3c5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S42"/>
  <sheetViews>
    <sheetView tabSelected="1" zoomScale="85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9" sqref="B29"/>
    </sheetView>
  </sheetViews>
  <sheetFormatPr baseColWidth="10" defaultColWidth="8.6640625" defaultRowHeight="15" customHeight="1" x14ac:dyDescent="0.2"/>
  <cols>
    <col min="1" max="1" width="10.5" customWidth="1"/>
    <col min="2" max="2" width="38" customWidth="1"/>
    <col min="3" max="3" width="12" customWidth="1"/>
    <col min="4" max="4" width="22.6640625" customWidth="1"/>
    <col min="5" max="5" width="12" customWidth="1"/>
    <col min="6" max="6" width="6.6640625" customWidth="1"/>
    <col min="7" max="7" width="15" customWidth="1"/>
    <col min="8" max="8" width="6" customWidth="1"/>
    <col min="9" max="9" width="11.33203125" customWidth="1"/>
    <col min="10" max="10" width="27.6640625" customWidth="1"/>
    <col min="11" max="11" width="8.83203125" customWidth="1"/>
    <col min="12" max="12" width="9.83203125" customWidth="1"/>
    <col min="13" max="13" width="9" customWidth="1"/>
    <col min="14" max="19" width="10" customWidth="1"/>
  </cols>
  <sheetData>
    <row r="1" spans="1:19" ht="45" customHeight="1" x14ac:dyDescent="0.2">
      <c r="A1" s="104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</row>
    <row r="2" spans="1:19" ht="15" customHeight="1" x14ac:dyDescent="0.2">
      <c r="A2" s="99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</row>
    <row r="3" spans="1:19" ht="15" customHeight="1" x14ac:dyDescent="0.2">
      <c r="A3" s="2" t="s">
        <v>2</v>
      </c>
      <c r="B3" s="106" t="s">
        <v>3</v>
      </c>
      <c r="C3" s="102"/>
      <c r="D3" s="102"/>
      <c r="E3" s="103"/>
    </row>
    <row r="4" spans="1:19" ht="15" customHeight="1" x14ac:dyDescent="0.2">
      <c r="A4" s="2" t="s">
        <v>4</v>
      </c>
      <c r="B4" s="106" t="s">
        <v>5</v>
      </c>
      <c r="C4" s="102"/>
      <c r="D4" s="102"/>
      <c r="E4" s="103"/>
    </row>
    <row r="5" spans="1:19" ht="15" customHeight="1" x14ac:dyDescent="0.2">
      <c r="A5" s="2" t="s">
        <v>6</v>
      </c>
      <c r="B5" s="106" t="s">
        <v>7</v>
      </c>
      <c r="C5" s="102"/>
      <c r="D5" s="102"/>
      <c r="E5" s="103"/>
      <c r="G5" s="2" t="s">
        <v>8</v>
      </c>
      <c r="H5" s="105" t="s">
        <v>9</v>
      </c>
      <c r="I5" s="103"/>
      <c r="J5" s="1" t="s">
        <v>10</v>
      </c>
      <c r="K5" s="2" t="s">
        <v>11</v>
      </c>
      <c r="L5" s="107" t="s">
        <v>12</v>
      </c>
      <c r="M5" s="103"/>
      <c r="N5" s="4">
        <v>0.7</v>
      </c>
      <c r="O5" s="1" t="str">
        <f>IF(N5+N6=1,"✓ 100%","⚠ "&amp;TEXT(N5+N6,"0%"))</f>
        <v>✓ 100%</v>
      </c>
    </row>
    <row r="6" spans="1:19" ht="15" customHeight="1" x14ac:dyDescent="0.2">
      <c r="A6" s="2" t="s">
        <v>13</v>
      </c>
      <c r="B6" s="101">
        <v>0.15</v>
      </c>
      <c r="C6" s="102"/>
      <c r="D6" s="102"/>
      <c r="E6" s="103"/>
      <c r="G6" s="2" t="s">
        <v>14</v>
      </c>
      <c r="H6" s="109">
        <v>23</v>
      </c>
      <c r="I6" s="103"/>
      <c r="J6" s="1" t="s">
        <v>15</v>
      </c>
      <c r="K6" s="2" t="s">
        <v>16</v>
      </c>
      <c r="L6" s="107" t="s">
        <v>17</v>
      </c>
      <c r="M6" s="103"/>
      <c r="N6" s="4">
        <v>0.3</v>
      </c>
      <c r="O6" s="1" t="s">
        <v>18</v>
      </c>
    </row>
    <row r="7" spans="1:19" ht="15" customHeight="1" x14ac:dyDescent="0.2">
      <c r="A7" s="100" t="s">
        <v>19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</row>
    <row r="8" spans="1:19" s="8" customFormat="1" ht="69.75" customHeight="1" x14ac:dyDescent="0.2">
      <c r="A8" s="5"/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  <c r="G8" s="5" t="s">
        <v>25</v>
      </c>
      <c r="H8" s="5" t="s">
        <v>26</v>
      </c>
      <c r="I8" s="5" t="s">
        <v>27</v>
      </c>
      <c r="J8" s="6" t="s">
        <v>28</v>
      </c>
      <c r="K8" s="6" t="s">
        <v>29</v>
      </c>
      <c r="L8" s="6" t="s">
        <v>30</v>
      </c>
      <c r="M8" s="6" t="s">
        <v>31</v>
      </c>
      <c r="N8" s="7" t="s">
        <v>32</v>
      </c>
      <c r="O8" s="7" t="s">
        <v>33</v>
      </c>
      <c r="P8" s="7" t="str">
        <f>Setup!L5&amp;"
Share"</f>
        <v>Artist
Share</v>
      </c>
      <c r="Q8" s="7" t="str">
        <f>Setup!L6&amp;"
Share"</f>
        <v>Promoter
Share</v>
      </c>
    </row>
    <row r="9" spans="1:19" ht="15" customHeight="1" x14ac:dyDescent="0.2">
      <c r="A9" s="9">
        <v>1</v>
      </c>
      <c r="B9" s="10">
        <v>46175</v>
      </c>
      <c r="C9" s="11" t="s">
        <v>34</v>
      </c>
      <c r="D9" s="11" t="s">
        <v>35</v>
      </c>
      <c r="E9" s="12">
        <v>5400</v>
      </c>
      <c r="F9" s="12">
        <v>5254</v>
      </c>
      <c r="G9" s="12">
        <v>1</v>
      </c>
      <c r="H9" s="11">
        <v>30</v>
      </c>
      <c r="I9" s="13">
        <f t="shared" ref="I9:I16" si="0">IF(F9="","",F9*H9)</f>
        <v>157620</v>
      </c>
      <c r="J9" s="14">
        <v>0</v>
      </c>
      <c r="K9" s="14">
        <v>0</v>
      </c>
      <c r="L9" s="15">
        <v>50000</v>
      </c>
      <c r="M9" s="16">
        <v>3.2000000000000001E-2</v>
      </c>
      <c r="N9" s="17">
        <f>'P&amp;L Summary'!B10</f>
        <v>49482</v>
      </c>
      <c r="O9" s="18">
        <f>'P&amp;L Summary'!B25</f>
        <v>33062.695652173919</v>
      </c>
      <c r="P9" s="18">
        <f>'P&amp;L Summary'!B29</f>
        <v>23143.886956521743</v>
      </c>
      <c r="Q9" s="18">
        <f>'P&amp;L Summary'!B30</f>
        <v>9918.8086956521747</v>
      </c>
    </row>
    <row r="10" spans="1:19" ht="15" customHeight="1" x14ac:dyDescent="0.2">
      <c r="A10" s="9">
        <v>2</v>
      </c>
      <c r="B10" s="10">
        <v>46177</v>
      </c>
      <c r="C10" s="11" t="s">
        <v>36</v>
      </c>
      <c r="D10" s="11" t="s">
        <v>37</v>
      </c>
      <c r="E10" s="12">
        <v>6000</v>
      </c>
      <c r="F10" s="12">
        <v>5200</v>
      </c>
      <c r="G10" s="12">
        <v>1</v>
      </c>
      <c r="H10" s="11">
        <v>30</v>
      </c>
      <c r="I10" s="13">
        <f t="shared" si="0"/>
        <v>156000</v>
      </c>
      <c r="J10" s="14">
        <v>0</v>
      </c>
      <c r="K10" s="14">
        <v>0</v>
      </c>
      <c r="L10" s="15">
        <v>50000</v>
      </c>
      <c r="M10" s="16">
        <v>3.2000000000000001E-2</v>
      </c>
      <c r="N10" s="17">
        <f>'P&amp;L Summary'!C10</f>
        <v>49167</v>
      </c>
      <c r="O10" s="18">
        <f>'P&amp;L Summary'!C25</f>
        <v>32540.130434782594</v>
      </c>
      <c r="P10" s="18">
        <f>'P&amp;L Summary'!C29</f>
        <v>22778.091304347814</v>
      </c>
      <c r="Q10" s="18">
        <f>'P&amp;L Summary'!C30</f>
        <v>9762.0391304347777</v>
      </c>
    </row>
    <row r="11" spans="1:19" ht="15" customHeight="1" x14ac:dyDescent="0.2">
      <c r="A11" s="9">
        <v>3</v>
      </c>
      <c r="B11" s="10">
        <v>46179</v>
      </c>
      <c r="C11" s="11" t="s">
        <v>38</v>
      </c>
      <c r="D11" s="11" t="s">
        <v>39</v>
      </c>
      <c r="E11" s="12">
        <v>8500</v>
      </c>
      <c r="F11" s="12">
        <v>8450</v>
      </c>
      <c r="G11" s="12">
        <v>3</v>
      </c>
      <c r="H11" s="11">
        <v>45</v>
      </c>
      <c r="I11" s="13">
        <f t="shared" si="0"/>
        <v>380250</v>
      </c>
      <c r="J11" s="14">
        <v>0</v>
      </c>
      <c r="K11" s="14">
        <v>0</v>
      </c>
      <c r="L11" s="15">
        <v>75000</v>
      </c>
      <c r="M11" s="16">
        <v>3.2000000000000001E-2</v>
      </c>
      <c r="N11" s="17">
        <f>'P&amp;L Summary'!D10</f>
        <v>119321</v>
      </c>
      <c r="O11" s="18">
        <f>'P&amp;L Summary'!D25</f>
        <v>125335.76521739129</v>
      </c>
      <c r="P11" s="18">
        <f>'P&amp;L Summary'!D29</f>
        <v>87735.035652173901</v>
      </c>
      <c r="Q11" s="18">
        <f>'P&amp;L Summary'!D30</f>
        <v>37600.729565217385</v>
      </c>
    </row>
    <row r="12" spans="1:19" ht="15" customHeight="1" x14ac:dyDescent="0.2">
      <c r="A12" s="9">
        <v>4</v>
      </c>
      <c r="B12" s="10">
        <v>46180</v>
      </c>
      <c r="C12" s="11" t="s">
        <v>38</v>
      </c>
      <c r="D12" s="11" t="s">
        <v>39</v>
      </c>
      <c r="E12" s="12">
        <v>8500</v>
      </c>
      <c r="F12" s="12">
        <v>5500</v>
      </c>
      <c r="G12" s="12">
        <v>3</v>
      </c>
      <c r="H12" s="11">
        <v>35</v>
      </c>
      <c r="I12" s="13">
        <f t="shared" si="0"/>
        <v>192500</v>
      </c>
      <c r="J12" s="14">
        <v>0</v>
      </c>
      <c r="K12" s="14">
        <v>0</v>
      </c>
      <c r="L12" s="15">
        <v>60000</v>
      </c>
      <c r="M12" s="16">
        <v>3.2000000000000001E-2</v>
      </c>
      <c r="N12" s="17">
        <f>'P&amp;L Summary'!E10</f>
        <v>60247</v>
      </c>
      <c r="O12" s="18">
        <f>'P&amp;L Summary'!E25</f>
        <v>41151.817391304357</v>
      </c>
      <c r="P12" s="18">
        <f>'P&amp;L Summary'!E29</f>
        <v>28806.272173913047</v>
      </c>
      <c r="Q12" s="18">
        <f>'P&amp;L Summary'!E30</f>
        <v>12345.545217391307</v>
      </c>
    </row>
    <row r="13" spans="1:19" ht="15" customHeight="1" x14ac:dyDescent="0.2">
      <c r="A13" s="9"/>
      <c r="B13" s="10"/>
      <c r="C13" s="11"/>
      <c r="D13" s="11"/>
      <c r="E13" s="12"/>
      <c r="F13" s="12"/>
      <c r="G13" s="12"/>
      <c r="H13" s="11"/>
      <c r="I13" s="13" t="str">
        <f t="shared" si="0"/>
        <v/>
      </c>
      <c r="J13" s="14"/>
      <c r="K13" s="14"/>
      <c r="L13" s="15"/>
      <c r="M13" s="16"/>
      <c r="N13" s="17">
        <f>'P&amp;L Summary'!F10</f>
        <v>0</v>
      </c>
      <c r="O13" s="18">
        <f>'P&amp;L Summary'!F25</f>
        <v>0</v>
      </c>
      <c r="P13" s="18">
        <f>'P&amp;L Summary'!F29</f>
        <v>0</v>
      </c>
      <c r="Q13" s="18">
        <f>'P&amp;L Summary'!F30</f>
        <v>0</v>
      </c>
    </row>
    <row r="14" spans="1:19" ht="15" customHeight="1" x14ac:dyDescent="0.2">
      <c r="A14" s="9"/>
      <c r="B14" s="10"/>
      <c r="C14" s="11"/>
      <c r="D14" s="11"/>
      <c r="E14" s="12"/>
      <c r="F14" s="12"/>
      <c r="G14" s="12"/>
      <c r="H14" s="11"/>
      <c r="I14" s="13" t="str">
        <f t="shared" si="0"/>
        <v/>
      </c>
      <c r="J14" s="14"/>
      <c r="K14" s="14"/>
      <c r="L14" s="15"/>
      <c r="M14" s="16"/>
      <c r="N14" s="17">
        <f>'P&amp;L Summary'!G10</f>
        <v>0</v>
      </c>
      <c r="O14" s="18">
        <f>'P&amp;L Summary'!G25</f>
        <v>0</v>
      </c>
      <c r="P14" s="18">
        <f>'P&amp;L Summary'!G29</f>
        <v>0</v>
      </c>
      <c r="Q14" s="18">
        <f>'P&amp;L Summary'!G30</f>
        <v>0</v>
      </c>
    </row>
    <row r="15" spans="1:19" ht="15" customHeight="1" x14ac:dyDescent="0.2">
      <c r="A15" s="9"/>
      <c r="B15" s="10"/>
      <c r="C15" s="11"/>
      <c r="D15" s="11"/>
      <c r="E15" s="12"/>
      <c r="F15" s="12"/>
      <c r="G15" s="12"/>
      <c r="H15" s="11"/>
      <c r="I15" s="13" t="str">
        <f t="shared" si="0"/>
        <v/>
      </c>
      <c r="J15" s="14"/>
      <c r="K15" s="14"/>
      <c r="L15" s="15"/>
      <c r="M15" s="16"/>
      <c r="N15" s="17">
        <f>'P&amp;L Summary'!H10</f>
        <v>0</v>
      </c>
      <c r="O15" s="18">
        <f>'P&amp;L Summary'!H25</f>
        <v>0</v>
      </c>
      <c r="P15" s="18">
        <f>'P&amp;L Summary'!H29</f>
        <v>0</v>
      </c>
      <c r="Q15" s="18">
        <f>'P&amp;L Summary'!H30</f>
        <v>0</v>
      </c>
    </row>
    <row r="16" spans="1:19" ht="15" customHeight="1" x14ac:dyDescent="0.2">
      <c r="A16" s="9"/>
      <c r="B16" s="10"/>
      <c r="C16" s="11"/>
      <c r="D16" s="11"/>
      <c r="E16" s="12"/>
      <c r="F16" s="12"/>
      <c r="G16" s="12"/>
      <c r="H16" s="11"/>
      <c r="I16" s="13" t="str">
        <f t="shared" si="0"/>
        <v/>
      </c>
      <c r="J16" s="14"/>
      <c r="K16" s="14"/>
      <c r="L16" s="15"/>
      <c r="M16" s="16"/>
      <c r="N16" s="17">
        <f>'P&amp;L Summary'!I10</f>
        <v>0</v>
      </c>
      <c r="O16" s="18">
        <f>'P&amp;L Summary'!I25</f>
        <v>0</v>
      </c>
      <c r="P16" s="18">
        <f>'P&amp;L Summary'!I29</f>
        <v>0</v>
      </c>
      <c r="Q16" s="18">
        <f>'P&amp;L Summary'!I30</f>
        <v>0</v>
      </c>
    </row>
    <row r="17" spans="1:19" ht="15" customHeight="1" x14ac:dyDescent="0.2">
      <c r="A17" s="108" t="s">
        <v>40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</row>
    <row r="18" spans="1:19" ht="15" customHeight="1" x14ac:dyDescent="0.2">
      <c r="A18" s="19" t="s">
        <v>41</v>
      </c>
      <c r="B18" s="20"/>
      <c r="C18" s="21"/>
      <c r="D18" s="21"/>
      <c r="E18" s="22"/>
      <c r="F18" s="22"/>
      <c r="G18" s="22"/>
      <c r="H18" s="21"/>
      <c r="I18" s="13" t="str">
        <f>IF(F18="","",F18*H18)</f>
        <v/>
      </c>
      <c r="J18" s="14"/>
      <c r="K18" s="14"/>
      <c r="L18" s="15"/>
      <c r="M18" s="16"/>
      <c r="N18" s="17">
        <f>'P&amp;L Summary'!J10</f>
        <v>0</v>
      </c>
      <c r="O18" s="18">
        <f>'P&amp;L Summary'!J25</f>
        <v>0</v>
      </c>
      <c r="P18" s="18">
        <f>'P&amp;L Summary'!J29</f>
        <v>0</v>
      </c>
      <c r="Q18" s="18">
        <f>'P&amp;L Summary'!J30</f>
        <v>0</v>
      </c>
    </row>
    <row r="19" spans="1:19" ht="15" customHeight="1" x14ac:dyDescent="0.2">
      <c r="A19" s="19" t="s">
        <v>42</v>
      </c>
      <c r="B19" s="20"/>
      <c r="C19" s="21"/>
      <c r="D19" s="21"/>
      <c r="E19" s="22"/>
      <c r="F19" s="22"/>
      <c r="G19" s="22"/>
      <c r="H19" s="21"/>
      <c r="I19" s="13" t="str">
        <f>IF(F19="","",F19*H19)</f>
        <v/>
      </c>
      <c r="J19" s="14"/>
      <c r="K19" s="14"/>
      <c r="L19" s="15"/>
      <c r="M19" s="16"/>
      <c r="N19" s="17">
        <f>'P&amp;L Summary'!K10</f>
        <v>0</v>
      </c>
      <c r="O19" s="18">
        <f>'P&amp;L Summary'!K25</f>
        <v>0</v>
      </c>
      <c r="P19" s="18">
        <f>'P&amp;L Summary'!K29</f>
        <v>0</v>
      </c>
      <c r="Q19" s="18">
        <f>'P&amp;L Summary'!K30</f>
        <v>0</v>
      </c>
    </row>
    <row r="20" spans="1:19" ht="15" customHeight="1" x14ac:dyDescent="0.2">
      <c r="A20" s="23" t="s">
        <v>43</v>
      </c>
      <c r="B20" s="24"/>
      <c r="C20" s="24"/>
      <c r="D20" s="24"/>
      <c r="E20" s="25">
        <f>SUM(E9:E16)+SUM(E18:E19)</f>
        <v>28400</v>
      </c>
      <c r="F20" s="25">
        <f>SUM(F9:F16)+SUM(F18:F19)</f>
        <v>24404</v>
      </c>
      <c r="G20" s="25">
        <f>SUM(G9:G16)+SUM(G18:G19)</f>
        <v>8</v>
      </c>
      <c r="H20" s="26">
        <f>IFERROR(AVERAGEIF(H9:H16,"&lt;&gt;"),0)</f>
        <v>35</v>
      </c>
      <c r="I20" s="26">
        <f>SUM(I9:I16)+SUM(I18:I19)</f>
        <v>886370</v>
      </c>
      <c r="J20" s="26">
        <f>SUM(J9:J16)+SUM(J18:J19)</f>
        <v>0</v>
      </c>
      <c r="K20" s="26">
        <f>SUM(K9:K16)+SUM(K18:K19)</f>
        <v>0</v>
      </c>
      <c r="L20" s="26">
        <f>SUM(L9:L16)+SUM(L18:L19)</f>
        <v>235000</v>
      </c>
      <c r="M20" s="24"/>
      <c r="N20" s="26">
        <f>'P&amp;L Summary'!L10</f>
        <v>278217</v>
      </c>
      <c r="O20" s="27">
        <f>'P&amp;L Summary'!L25</f>
        <v>232090.40869565215</v>
      </c>
      <c r="P20" s="27">
        <f>'P&amp;L Summary'!L29</f>
        <v>162463.2860869565</v>
      </c>
      <c r="Q20" s="27">
        <f>'P&amp;L Summary'!L30</f>
        <v>69627.122608695645</v>
      </c>
    </row>
    <row r="21" spans="1:19" ht="15" customHeight="1" x14ac:dyDescent="0.2">
      <c r="A21" s="99" t="s">
        <v>44</v>
      </c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</row>
    <row r="23" spans="1:19" ht="15" customHeight="1" x14ac:dyDescent="0.2">
      <c r="A23" s="100" t="s">
        <v>45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</row>
    <row r="24" spans="1:19" ht="15" customHeight="1" x14ac:dyDescent="0.2">
      <c r="A24" s="99" t="s">
        <v>46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</row>
    <row r="25" spans="1:19" ht="39" customHeight="1" x14ac:dyDescent="0.2">
      <c r="A25" s="28" t="s">
        <v>47</v>
      </c>
      <c r="B25" s="28" t="s">
        <v>48</v>
      </c>
      <c r="C25" s="28" t="s">
        <v>49</v>
      </c>
      <c r="D25" s="28" t="s">
        <v>50</v>
      </c>
      <c r="E25" s="28" t="s">
        <v>51</v>
      </c>
      <c r="F25" s="28" t="s">
        <v>52</v>
      </c>
      <c r="G25" s="28" t="s">
        <v>53</v>
      </c>
      <c r="H25" s="28" t="s">
        <v>54</v>
      </c>
      <c r="I25" s="28" t="s">
        <v>55</v>
      </c>
      <c r="J25" s="28" t="s">
        <v>56</v>
      </c>
      <c r="K25" s="28" t="s">
        <v>57</v>
      </c>
      <c r="L25" s="28" t="s">
        <v>58</v>
      </c>
      <c r="M25" s="28" t="s">
        <v>59</v>
      </c>
      <c r="N25" s="29" t="s">
        <v>60</v>
      </c>
      <c r="O25" s="29" t="s">
        <v>61</v>
      </c>
      <c r="P25" s="29" t="s">
        <v>62</v>
      </c>
      <c r="Q25" s="29" t="s">
        <v>63</v>
      </c>
      <c r="R25" s="29" t="s">
        <v>64</v>
      </c>
      <c r="S25" s="29" t="s">
        <v>65</v>
      </c>
    </row>
    <row r="26" spans="1:19" ht="15" customHeight="1" x14ac:dyDescent="0.2">
      <c r="A26" s="9">
        <v>1</v>
      </c>
      <c r="B26" s="12" t="s">
        <v>133</v>
      </c>
      <c r="C26" s="3" t="s">
        <v>66</v>
      </c>
      <c r="D26" s="11">
        <v>550</v>
      </c>
      <c r="E26" s="30">
        <v>0.3</v>
      </c>
      <c r="F26" s="31"/>
      <c r="G26" s="31">
        <v>0.15</v>
      </c>
      <c r="H26" s="31">
        <v>0.25</v>
      </c>
      <c r="I26" s="31">
        <v>0.3</v>
      </c>
      <c r="J26" s="31">
        <v>0.18</v>
      </c>
      <c r="K26" s="31">
        <v>0.12</v>
      </c>
      <c r="L26" s="31"/>
      <c r="M26" s="32" t="str">
        <f t="shared" ref="M26:M40" si="1">IF(COUNTA(F26:L26)=0,"N/A",IF(ABS(SUM(F26:L26)-1)&lt;0.001,"✓","✗ "&amp;TEXT(SUM(F26:L26),"0%")))</f>
        <v>✓</v>
      </c>
      <c r="N26" s="33">
        <v>169</v>
      </c>
      <c r="O26" s="34">
        <v>0</v>
      </c>
      <c r="P26" s="34">
        <v>0</v>
      </c>
      <c r="Q26" s="35">
        <v>0</v>
      </c>
      <c r="R26" s="35"/>
      <c r="S26" s="36">
        <f t="shared" ref="S26:S40" si="2">IF(COUNTA(N26:R26)=0,"",SUM(N26:R26))</f>
        <v>169</v>
      </c>
    </row>
    <row r="27" spans="1:19" ht="15" customHeight="1" x14ac:dyDescent="0.2">
      <c r="A27" s="9">
        <v>2</v>
      </c>
      <c r="B27" s="3" t="s">
        <v>134</v>
      </c>
      <c r="C27" s="3" t="s">
        <v>66</v>
      </c>
      <c r="D27" s="11">
        <v>550</v>
      </c>
      <c r="E27" s="30">
        <v>0.2</v>
      </c>
      <c r="F27" s="31"/>
      <c r="G27" s="31">
        <v>0.15</v>
      </c>
      <c r="H27" s="31">
        <v>0.25</v>
      </c>
      <c r="I27" s="31">
        <v>0.3</v>
      </c>
      <c r="J27" s="31">
        <v>0.18</v>
      </c>
      <c r="K27" s="31">
        <v>0.12</v>
      </c>
      <c r="L27" s="31"/>
      <c r="M27" s="32" t="str">
        <f t="shared" si="1"/>
        <v>✓</v>
      </c>
      <c r="N27" s="33">
        <v>169</v>
      </c>
      <c r="O27" s="34">
        <v>0</v>
      </c>
      <c r="P27" s="34">
        <v>0</v>
      </c>
      <c r="Q27" s="35">
        <v>0</v>
      </c>
      <c r="R27" s="35"/>
      <c r="S27" s="36">
        <f t="shared" si="2"/>
        <v>169</v>
      </c>
    </row>
    <row r="28" spans="1:19" ht="15" customHeight="1" x14ac:dyDescent="0.2">
      <c r="A28" s="9">
        <v>3</v>
      </c>
      <c r="B28" s="3" t="s">
        <v>135</v>
      </c>
      <c r="C28" s="3" t="s">
        <v>66</v>
      </c>
      <c r="D28" s="11">
        <v>550</v>
      </c>
      <c r="E28" s="30">
        <v>0.3</v>
      </c>
      <c r="F28" s="31"/>
      <c r="G28" s="31">
        <v>0.15</v>
      </c>
      <c r="H28" s="31">
        <v>0.25</v>
      </c>
      <c r="I28" s="31">
        <v>0.3</v>
      </c>
      <c r="J28" s="31">
        <v>0.18</v>
      </c>
      <c r="K28" s="31">
        <v>0.12</v>
      </c>
      <c r="L28" s="31"/>
      <c r="M28" s="32" t="str">
        <f t="shared" si="1"/>
        <v>✓</v>
      </c>
      <c r="N28" s="33">
        <v>162</v>
      </c>
      <c r="O28" s="34">
        <v>0</v>
      </c>
      <c r="P28" s="34">
        <v>0</v>
      </c>
      <c r="Q28" s="35">
        <v>0</v>
      </c>
      <c r="R28" s="35"/>
      <c r="S28" s="36">
        <f t="shared" si="2"/>
        <v>162</v>
      </c>
    </row>
    <row r="29" spans="1:19" ht="15" customHeight="1" x14ac:dyDescent="0.2">
      <c r="A29" s="9">
        <v>4</v>
      </c>
      <c r="B29" s="3" t="s">
        <v>67</v>
      </c>
      <c r="C29" s="3" t="s">
        <v>68</v>
      </c>
      <c r="D29" s="11">
        <v>350</v>
      </c>
      <c r="E29" s="31">
        <v>0.13</v>
      </c>
      <c r="F29" s="31"/>
      <c r="G29" s="31"/>
      <c r="H29" s="31"/>
      <c r="I29" s="31"/>
      <c r="J29" s="31"/>
      <c r="K29" s="31"/>
      <c r="L29" s="31"/>
      <c r="M29" s="32" t="str">
        <f t="shared" si="1"/>
        <v>N/A</v>
      </c>
      <c r="N29" s="33">
        <v>96</v>
      </c>
      <c r="O29" s="34">
        <v>0</v>
      </c>
      <c r="P29" s="34">
        <v>0</v>
      </c>
      <c r="Q29" s="35">
        <v>0</v>
      </c>
      <c r="R29" s="35"/>
      <c r="S29" s="36">
        <f t="shared" si="2"/>
        <v>96</v>
      </c>
    </row>
    <row r="30" spans="1:19" ht="15" customHeight="1" x14ac:dyDescent="0.2">
      <c r="A30" s="9">
        <v>5</v>
      </c>
      <c r="B30" s="3" t="s">
        <v>69</v>
      </c>
      <c r="C30" s="3" t="s">
        <v>68</v>
      </c>
      <c r="D30" s="11">
        <v>100</v>
      </c>
      <c r="E30" s="31">
        <v>7.0000000000000007E-2</v>
      </c>
      <c r="F30" s="31"/>
      <c r="G30" s="31"/>
      <c r="H30" s="31"/>
      <c r="I30" s="31"/>
      <c r="J30" s="31"/>
      <c r="K30" s="31"/>
      <c r="L30" s="31"/>
      <c r="M30" s="32" t="str">
        <f t="shared" si="1"/>
        <v>N/A</v>
      </c>
      <c r="N30" s="33">
        <v>50</v>
      </c>
      <c r="O30" s="34">
        <v>0</v>
      </c>
      <c r="P30" s="34">
        <v>0</v>
      </c>
      <c r="Q30" s="35">
        <v>0</v>
      </c>
      <c r="R30" s="35"/>
      <c r="S30" s="36">
        <f t="shared" si="2"/>
        <v>50</v>
      </c>
    </row>
    <row r="31" spans="1:19" ht="15" customHeight="1" x14ac:dyDescent="0.2">
      <c r="A31" s="9">
        <v>6</v>
      </c>
      <c r="B31" s="3"/>
      <c r="C31" s="3"/>
      <c r="D31" s="11"/>
      <c r="E31" s="31"/>
      <c r="F31" s="31"/>
      <c r="G31" s="31"/>
      <c r="H31" s="31"/>
      <c r="I31" s="31"/>
      <c r="J31" s="31"/>
      <c r="K31" s="31"/>
      <c r="L31" s="31"/>
      <c r="M31" s="32" t="str">
        <f t="shared" si="1"/>
        <v>N/A</v>
      </c>
      <c r="N31" s="34">
        <v>0</v>
      </c>
      <c r="O31" s="34">
        <v>0</v>
      </c>
      <c r="P31" s="34">
        <v>0</v>
      </c>
      <c r="Q31" s="35">
        <v>0</v>
      </c>
      <c r="R31" s="35"/>
      <c r="S31" s="36">
        <f t="shared" si="2"/>
        <v>0</v>
      </c>
    </row>
    <row r="32" spans="1:19" ht="15" hidden="1" customHeight="1" x14ac:dyDescent="0.2">
      <c r="A32" s="9"/>
      <c r="B32" s="3"/>
      <c r="C32" s="3"/>
      <c r="D32" s="11"/>
      <c r="E32" s="31"/>
      <c r="F32" s="31"/>
      <c r="G32" s="31"/>
      <c r="H32" s="31"/>
      <c r="I32" s="31"/>
      <c r="J32" s="31"/>
      <c r="K32" s="31"/>
      <c r="L32" s="31"/>
      <c r="M32" s="32" t="str">
        <f t="shared" si="1"/>
        <v>N/A</v>
      </c>
      <c r="N32" s="33"/>
      <c r="O32" s="34"/>
      <c r="P32" s="34"/>
      <c r="Q32" s="35"/>
      <c r="R32" s="35"/>
      <c r="S32" s="36" t="str">
        <f t="shared" si="2"/>
        <v/>
      </c>
    </row>
    <row r="33" spans="1:19" ht="15" hidden="1" customHeight="1" x14ac:dyDescent="0.2">
      <c r="A33" s="9"/>
      <c r="B33" s="3"/>
      <c r="C33" s="3"/>
      <c r="D33" s="11"/>
      <c r="E33" s="31"/>
      <c r="F33" s="31"/>
      <c r="G33" s="31"/>
      <c r="H33" s="31"/>
      <c r="I33" s="31"/>
      <c r="J33" s="31"/>
      <c r="K33" s="31"/>
      <c r="L33" s="31"/>
      <c r="M33" s="32" t="str">
        <f t="shared" si="1"/>
        <v>N/A</v>
      </c>
      <c r="N33" s="33"/>
      <c r="O33" s="34"/>
      <c r="P33" s="34"/>
      <c r="Q33" s="35"/>
      <c r="R33" s="35"/>
      <c r="S33" s="36" t="str">
        <f t="shared" si="2"/>
        <v/>
      </c>
    </row>
    <row r="34" spans="1:19" ht="15" hidden="1" customHeight="1" x14ac:dyDescent="0.2">
      <c r="A34" s="9"/>
      <c r="B34" s="3"/>
      <c r="C34" s="3"/>
      <c r="D34" s="11"/>
      <c r="E34" s="31"/>
      <c r="F34" s="31"/>
      <c r="G34" s="31"/>
      <c r="H34" s="31"/>
      <c r="I34" s="31"/>
      <c r="J34" s="31"/>
      <c r="K34" s="31"/>
      <c r="L34" s="31"/>
      <c r="M34" s="32" t="str">
        <f t="shared" si="1"/>
        <v>N/A</v>
      </c>
      <c r="N34" s="33"/>
      <c r="O34" s="34"/>
      <c r="P34" s="34"/>
      <c r="Q34" s="35"/>
      <c r="R34" s="35"/>
      <c r="S34" s="36" t="str">
        <f t="shared" si="2"/>
        <v/>
      </c>
    </row>
    <row r="35" spans="1:19" ht="15" hidden="1" customHeight="1" x14ac:dyDescent="0.2">
      <c r="A35" s="9"/>
      <c r="B35" s="3"/>
      <c r="C35" s="3"/>
      <c r="D35" s="11"/>
      <c r="E35" s="31"/>
      <c r="F35" s="31"/>
      <c r="G35" s="31"/>
      <c r="H35" s="31"/>
      <c r="I35" s="31"/>
      <c r="J35" s="31"/>
      <c r="K35" s="31"/>
      <c r="L35" s="31"/>
      <c r="M35" s="32" t="str">
        <f t="shared" si="1"/>
        <v>N/A</v>
      </c>
      <c r="N35" s="33"/>
      <c r="O35" s="34"/>
      <c r="P35" s="34"/>
      <c r="Q35" s="35"/>
      <c r="R35" s="35"/>
      <c r="S35" s="36" t="str">
        <f t="shared" si="2"/>
        <v/>
      </c>
    </row>
    <row r="36" spans="1:19" ht="15" hidden="1" customHeight="1" x14ac:dyDescent="0.2">
      <c r="A36" s="9"/>
      <c r="B36" s="3"/>
      <c r="C36" s="3"/>
      <c r="D36" s="11"/>
      <c r="E36" s="31"/>
      <c r="F36" s="31"/>
      <c r="G36" s="31"/>
      <c r="H36" s="31"/>
      <c r="I36" s="31"/>
      <c r="J36" s="31"/>
      <c r="K36" s="31"/>
      <c r="L36" s="31"/>
      <c r="M36" s="32" t="str">
        <f t="shared" si="1"/>
        <v>N/A</v>
      </c>
      <c r="N36" s="33"/>
      <c r="O36" s="34"/>
      <c r="P36" s="34"/>
      <c r="Q36" s="35"/>
      <c r="R36" s="35"/>
      <c r="S36" s="36" t="str">
        <f t="shared" si="2"/>
        <v/>
      </c>
    </row>
    <row r="37" spans="1:19" ht="15" hidden="1" customHeight="1" x14ac:dyDescent="0.2">
      <c r="A37" s="9"/>
      <c r="B37" s="3"/>
      <c r="C37" s="3"/>
      <c r="D37" s="11"/>
      <c r="E37" s="31"/>
      <c r="F37" s="31"/>
      <c r="G37" s="31"/>
      <c r="H37" s="31"/>
      <c r="I37" s="31"/>
      <c r="J37" s="31"/>
      <c r="K37" s="31"/>
      <c r="L37" s="31"/>
      <c r="M37" s="32" t="str">
        <f t="shared" si="1"/>
        <v>N/A</v>
      </c>
      <c r="N37" s="34"/>
      <c r="O37" s="34"/>
      <c r="P37" s="34"/>
      <c r="Q37" s="37"/>
      <c r="R37" s="37"/>
      <c r="S37" s="13" t="str">
        <f t="shared" si="2"/>
        <v/>
      </c>
    </row>
    <row r="38" spans="1:19" ht="15" hidden="1" customHeight="1" x14ac:dyDescent="0.2">
      <c r="A38" s="9"/>
      <c r="B38" s="3"/>
      <c r="C38" s="3"/>
      <c r="D38" s="11"/>
      <c r="E38" s="31"/>
      <c r="F38" s="31"/>
      <c r="G38" s="31"/>
      <c r="H38" s="31"/>
      <c r="I38" s="31"/>
      <c r="J38" s="31"/>
      <c r="K38" s="31"/>
      <c r="L38" s="31"/>
      <c r="M38" s="32" t="str">
        <f t="shared" si="1"/>
        <v>N/A</v>
      </c>
      <c r="N38" s="34"/>
      <c r="O38" s="34"/>
      <c r="P38" s="34"/>
      <c r="Q38" s="37"/>
      <c r="R38" s="37"/>
      <c r="S38" s="13" t="str">
        <f t="shared" si="2"/>
        <v/>
      </c>
    </row>
    <row r="39" spans="1:19" ht="15" hidden="1" customHeight="1" x14ac:dyDescent="0.2">
      <c r="A39" s="9"/>
      <c r="B39" s="3"/>
      <c r="C39" s="3"/>
      <c r="D39" s="11"/>
      <c r="E39" s="31"/>
      <c r="F39" s="31"/>
      <c r="G39" s="31"/>
      <c r="H39" s="31"/>
      <c r="I39" s="31"/>
      <c r="J39" s="31"/>
      <c r="K39" s="31"/>
      <c r="L39" s="31"/>
      <c r="M39" s="32" t="str">
        <f t="shared" si="1"/>
        <v>N/A</v>
      </c>
      <c r="N39" s="34"/>
      <c r="O39" s="34"/>
      <c r="P39" s="34"/>
      <c r="Q39" s="37"/>
      <c r="R39" s="37"/>
      <c r="S39" s="13" t="str">
        <f t="shared" si="2"/>
        <v/>
      </c>
    </row>
    <row r="40" spans="1:19" ht="15" hidden="1" customHeight="1" x14ac:dyDescent="0.2">
      <c r="A40" s="9"/>
      <c r="B40" s="3"/>
      <c r="C40" s="3"/>
      <c r="D40" s="11"/>
      <c r="E40" s="31"/>
      <c r="F40" s="31"/>
      <c r="G40" s="31"/>
      <c r="H40" s="31"/>
      <c r="I40" s="31"/>
      <c r="J40" s="31"/>
      <c r="K40" s="31"/>
      <c r="L40" s="31"/>
      <c r="M40" s="32" t="str">
        <f t="shared" si="1"/>
        <v>N/A</v>
      </c>
      <c r="N40" s="34"/>
      <c r="O40" s="34"/>
      <c r="P40" s="34"/>
      <c r="Q40" s="37"/>
      <c r="R40" s="37"/>
      <c r="S40" s="13" t="str">
        <f t="shared" si="2"/>
        <v/>
      </c>
    </row>
    <row r="41" spans="1:19" ht="15" customHeight="1" x14ac:dyDescent="0.2">
      <c r="D41" s="2" t="s">
        <v>70</v>
      </c>
      <c r="E41" s="38">
        <f>SUM(E26:E40)</f>
        <v>1</v>
      </c>
      <c r="R41" s="2" t="s">
        <v>71</v>
      </c>
      <c r="S41" s="39">
        <f>IFERROR(AVERAGEIF(S26:S40,"&lt;&gt;"),0)</f>
        <v>107.66666666666667</v>
      </c>
    </row>
    <row r="42" spans="1:19" ht="15" customHeight="1" x14ac:dyDescent="0.2">
      <c r="D42" s="40" t="s">
        <v>72</v>
      </c>
    </row>
  </sheetData>
  <mergeCells count="15">
    <mergeCell ref="A24:S24"/>
    <mergeCell ref="A2:S2"/>
    <mergeCell ref="A23:S23"/>
    <mergeCell ref="B6:E6"/>
    <mergeCell ref="A1:S1"/>
    <mergeCell ref="A7:Q7"/>
    <mergeCell ref="H5:I5"/>
    <mergeCell ref="B3:E3"/>
    <mergeCell ref="B5:E5"/>
    <mergeCell ref="L5:M5"/>
    <mergeCell ref="A17:Q17"/>
    <mergeCell ref="H6:I6"/>
    <mergeCell ref="B4:E4"/>
    <mergeCell ref="L6:M6"/>
    <mergeCell ref="A21:Q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4C759"/>
  </sheetPr>
  <dimension ref="A1:S227"/>
  <sheetViews>
    <sheetView zoomScaleNormal="100" workbookViewId="0">
      <pane ySplit="19" topLeftCell="A20" activePane="bottomLeft" state="frozen"/>
      <selection pane="bottomLeft" activeCell="V6" sqref="V6"/>
    </sheetView>
  </sheetViews>
  <sheetFormatPr baseColWidth="10" defaultColWidth="8.6640625" defaultRowHeight="15" customHeight="1" x14ac:dyDescent="0.2"/>
  <cols>
    <col min="1" max="1" width="36" customWidth="1"/>
    <col min="2" max="2" width="11" customWidth="1"/>
    <col min="3" max="3" width="10" customWidth="1"/>
    <col min="4" max="4" width="8" customWidth="1"/>
    <col min="5" max="5" width="12" customWidth="1"/>
    <col min="6" max="6" width="10" customWidth="1"/>
    <col min="7" max="13" width="6" customWidth="1"/>
    <col min="14" max="14" width="13" customWidth="1"/>
    <col min="15" max="15" width="10" customWidth="1"/>
    <col min="16" max="16" width="12" customWidth="1"/>
    <col min="17" max="17" width="9" customWidth="1"/>
    <col min="18" max="18" width="10" customWidth="1"/>
    <col min="19" max="19" width="12" customWidth="1"/>
  </cols>
  <sheetData>
    <row r="1" spans="1:19" ht="34.5" customHeight="1" x14ac:dyDescent="0.2">
      <c r="A1" s="98" t="s">
        <v>73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</row>
    <row r="2" spans="1:19" ht="25.5" customHeight="1" x14ac:dyDescent="0.2">
      <c r="A2" s="28" t="s">
        <v>74</v>
      </c>
      <c r="B2" s="28" t="s">
        <v>49</v>
      </c>
      <c r="C2" s="28" t="s">
        <v>75</v>
      </c>
      <c r="D2" s="28" t="s">
        <v>76</v>
      </c>
      <c r="E2" s="28" t="s">
        <v>77</v>
      </c>
      <c r="F2" s="28" t="s">
        <v>78</v>
      </c>
      <c r="G2" s="28" t="s">
        <v>79</v>
      </c>
      <c r="H2" s="28" t="s">
        <v>80</v>
      </c>
      <c r="I2" s="28" t="s">
        <v>81</v>
      </c>
      <c r="J2" s="28" t="s">
        <v>82</v>
      </c>
      <c r="K2" s="28" t="s">
        <v>83</v>
      </c>
      <c r="L2" s="28" t="s">
        <v>84</v>
      </c>
      <c r="M2" s="28" t="s">
        <v>85</v>
      </c>
      <c r="N2" s="28" t="s">
        <v>86</v>
      </c>
      <c r="O2" s="41" t="s">
        <v>87</v>
      </c>
      <c r="P2" s="42" t="s">
        <v>88</v>
      </c>
      <c r="Q2" s="29" t="s">
        <v>89</v>
      </c>
      <c r="R2" s="29" t="s">
        <v>90</v>
      </c>
      <c r="S2" s="29" t="s">
        <v>91</v>
      </c>
    </row>
    <row r="3" spans="1:19" ht="15" customHeight="1" x14ac:dyDescent="0.2">
      <c r="A3" s="43" t="str">
        <f>IF(Setup!B26="","",Setup!B26)</f>
        <v>Sing Song Black tee</v>
      </c>
      <c r="B3" s="44" t="str">
        <f>IF($A3="","",Setup!C26)</f>
        <v>Apparel</v>
      </c>
      <c r="C3" s="45">
        <f>IF($A3="","",Setup!D26)</f>
        <v>550</v>
      </c>
      <c r="D3" s="46">
        <f>IF($A3="","",Setup!E26)</f>
        <v>0.3</v>
      </c>
      <c r="E3" s="45">
        <f t="shared" ref="E3:P3" si="0">IF($A3="","",SUM(E23,E44,E65,E86,E107,E128,E149,E170,E191,E212))</f>
        <v>265911</v>
      </c>
      <c r="F3" s="47">
        <f>IF($A3="","",SUM(F23,F44,F65,F86,F107,F128,F149,F170,F191,F212))</f>
        <v>485</v>
      </c>
      <c r="G3" s="47">
        <f t="shared" si="0"/>
        <v>0</v>
      </c>
      <c r="H3" s="47">
        <f t="shared" si="0"/>
        <v>73</v>
      </c>
      <c r="I3" s="47">
        <f t="shared" si="0"/>
        <v>122</v>
      </c>
      <c r="J3" s="47">
        <f t="shared" si="0"/>
        <v>146</v>
      </c>
      <c r="K3" s="47">
        <f t="shared" si="0"/>
        <v>86</v>
      </c>
      <c r="L3" s="47">
        <f t="shared" si="0"/>
        <v>58</v>
      </c>
      <c r="M3" s="47">
        <f t="shared" si="0"/>
        <v>0</v>
      </c>
      <c r="N3" s="45">
        <f t="shared" si="0"/>
        <v>266750</v>
      </c>
      <c r="O3" s="48">
        <f t="shared" si="0"/>
        <v>34793.478260869568</v>
      </c>
      <c r="P3" s="45">
        <f t="shared" si="0"/>
        <v>231956.52173913043</v>
      </c>
      <c r="Q3" s="45">
        <f>IF($A3="","",Setup!S26)</f>
        <v>169</v>
      </c>
      <c r="R3" s="49">
        <f t="shared" ref="R3:S17" si="1">IF($A3="","",SUM(R23,R44,R65,R86,R107,R128,R149,R170,R191,R212))</f>
        <v>81965</v>
      </c>
      <c r="S3" s="50">
        <f t="shared" si="1"/>
        <v>149991.52173913043</v>
      </c>
    </row>
    <row r="4" spans="1:19" ht="15" customHeight="1" x14ac:dyDescent="0.2">
      <c r="A4" s="51" t="str">
        <f>IF(Setup!B27="","",Setup!B27)</f>
        <v>Kingston Black Tee</v>
      </c>
      <c r="B4" s="52" t="str">
        <f>IF($A4="","",Setup!C27)</f>
        <v>Apparel</v>
      </c>
      <c r="C4" s="53">
        <f>IF($A4="","",Setup!D27)</f>
        <v>550</v>
      </c>
      <c r="D4" s="54">
        <f>IF($A4="","",Setup!E27)</f>
        <v>0.2</v>
      </c>
      <c r="E4" s="53">
        <f t="shared" ref="E4:P4" si="2">IF($A4="","",SUM(E24,E45,E66,E87,E108,E129,E150,E171,E192,E213))</f>
        <v>177274</v>
      </c>
      <c r="F4" s="55">
        <f t="shared" si="2"/>
        <v>324</v>
      </c>
      <c r="G4" s="55">
        <f t="shared" si="2"/>
        <v>0</v>
      </c>
      <c r="H4" s="55">
        <f t="shared" si="2"/>
        <v>50</v>
      </c>
      <c r="I4" s="55">
        <f t="shared" si="2"/>
        <v>82</v>
      </c>
      <c r="J4" s="55">
        <f t="shared" si="2"/>
        <v>97</v>
      </c>
      <c r="K4" s="55">
        <f t="shared" si="2"/>
        <v>58</v>
      </c>
      <c r="L4" s="55">
        <f t="shared" si="2"/>
        <v>39</v>
      </c>
      <c r="M4" s="55">
        <f t="shared" si="2"/>
        <v>0</v>
      </c>
      <c r="N4" s="53">
        <f t="shared" si="2"/>
        <v>178200</v>
      </c>
      <c r="O4" s="56">
        <f t="shared" si="2"/>
        <v>23243.478260869568</v>
      </c>
      <c r="P4" s="53">
        <f t="shared" si="2"/>
        <v>154956.52173913043</v>
      </c>
      <c r="Q4" s="53">
        <f>IF($A4="","",Setup!S27)</f>
        <v>169</v>
      </c>
      <c r="R4" s="57">
        <f t="shared" si="1"/>
        <v>54756</v>
      </c>
      <c r="S4" s="58">
        <f t="shared" si="1"/>
        <v>100200.52173913043</v>
      </c>
    </row>
    <row r="5" spans="1:19" ht="15" customHeight="1" x14ac:dyDescent="0.2">
      <c r="A5" s="43" t="str">
        <f>IF(Setup!B28="","",Setup!B28)</f>
        <v>Red Red Wine White tee</v>
      </c>
      <c r="B5" s="44" t="str">
        <f>IF($A5="","",Setup!C28)</f>
        <v>Apparel</v>
      </c>
      <c r="C5" s="45">
        <f>IF($A5="","",Setup!D28)</f>
        <v>550</v>
      </c>
      <c r="D5" s="46">
        <f>IF($A5="","",Setup!E28)</f>
        <v>0.3</v>
      </c>
      <c r="E5" s="45">
        <f t="shared" ref="E5:P5" si="3">IF($A5="","",SUM(E25,E46,E67,E88,E109,E130,E151,E172,E193,E214))</f>
        <v>265911</v>
      </c>
      <c r="F5" s="47">
        <f t="shared" si="3"/>
        <v>485</v>
      </c>
      <c r="G5" s="47">
        <f t="shared" si="3"/>
        <v>0</v>
      </c>
      <c r="H5" s="47">
        <f t="shared" si="3"/>
        <v>73</v>
      </c>
      <c r="I5" s="47">
        <f t="shared" si="3"/>
        <v>122</v>
      </c>
      <c r="J5" s="47">
        <f t="shared" si="3"/>
        <v>146</v>
      </c>
      <c r="K5" s="47">
        <f t="shared" si="3"/>
        <v>86</v>
      </c>
      <c r="L5" s="47">
        <f t="shared" si="3"/>
        <v>58</v>
      </c>
      <c r="M5" s="47">
        <f t="shared" si="3"/>
        <v>0</v>
      </c>
      <c r="N5" s="45">
        <f t="shared" si="3"/>
        <v>266750</v>
      </c>
      <c r="O5" s="48">
        <f t="shared" si="3"/>
        <v>34793.478260869568</v>
      </c>
      <c r="P5" s="45">
        <f t="shared" si="3"/>
        <v>231956.52173913043</v>
      </c>
      <c r="Q5" s="45">
        <f>IF($A5="","",Setup!S28)</f>
        <v>162</v>
      </c>
      <c r="R5" s="49">
        <f t="shared" si="1"/>
        <v>78570</v>
      </c>
      <c r="S5" s="50">
        <f t="shared" si="1"/>
        <v>153386.52173913043</v>
      </c>
    </row>
    <row r="6" spans="1:19" ht="15" customHeight="1" x14ac:dyDescent="0.2">
      <c r="A6" s="51" t="str">
        <f>IF(Setup!B29="","",Setup!B29)</f>
        <v>Cap</v>
      </c>
      <c r="B6" s="52" t="str">
        <f>IF($A6="","",Setup!C29)</f>
        <v>Accessory</v>
      </c>
      <c r="C6" s="53">
        <f>IF($A6="","",Setup!D29)</f>
        <v>350</v>
      </c>
      <c r="D6" s="54">
        <f>IF($A6="","",Setup!E29)</f>
        <v>0.13</v>
      </c>
      <c r="E6" s="53">
        <f t="shared" ref="E6:P6" si="4">IF($A6="","",SUM(E26,E47,E68,E89,E110,E131,E152,E173,E194,E215))</f>
        <v>115228.1</v>
      </c>
      <c r="F6" s="55">
        <f t="shared" si="4"/>
        <v>331</v>
      </c>
      <c r="G6" s="55">
        <f t="shared" si="4"/>
        <v>0</v>
      </c>
      <c r="H6" s="55">
        <f t="shared" si="4"/>
        <v>0</v>
      </c>
      <c r="I6" s="55">
        <f t="shared" si="4"/>
        <v>0</v>
      </c>
      <c r="J6" s="55">
        <f t="shared" si="4"/>
        <v>0</v>
      </c>
      <c r="K6" s="55">
        <f t="shared" si="4"/>
        <v>0</v>
      </c>
      <c r="L6" s="55">
        <f t="shared" si="4"/>
        <v>0</v>
      </c>
      <c r="M6" s="55">
        <f t="shared" si="4"/>
        <v>0</v>
      </c>
      <c r="N6" s="53">
        <f t="shared" si="4"/>
        <v>115850</v>
      </c>
      <c r="O6" s="56">
        <f t="shared" si="4"/>
        <v>15110.869565217392</v>
      </c>
      <c r="P6" s="53">
        <f t="shared" si="4"/>
        <v>100739.13043478261</v>
      </c>
      <c r="Q6" s="53">
        <f>IF($A6="","",Setup!S29)</f>
        <v>96</v>
      </c>
      <c r="R6" s="57">
        <f t="shared" si="1"/>
        <v>31776</v>
      </c>
      <c r="S6" s="58">
        <f t="shared" si="1"/>
        <v>68963.130434782608</v>
      </c>
    </row>
    <row r="7" spans="1:19" ht="15" customHeight="1" x14ac:dyDescent="0.2">
      <c r="A7" s="43" t="str">
        <f>IF(Setup!B30="","",Setup!B30)</f>
        <v>Tote</v>
      </c>
      <c r="B7" s="44" t="str">
        <f>IF($A7="","",Setup!C30)</f>
        <v>Accessory</v>
      </c>
      <c r="C7" s="45">
        <f>IF($A7="","",Setup!D30)</f>
        <v>100</v>
      </c>
      <c r="D7" s="46">
        <f>IF($A7="","",Setup!E30)</f>
        <v>7.0000000000000007E-2</v>
      </c>
      <c r="E7" s="45">
        <f t="shared" ref="E7:P7" si="5">IF($A7="","",SUM(E27,E48,E69,E90,E111,E132,E153,E174,E195,E216))</f>
        <v>62045.900000000009</v>
      </c>
      <c r="F7" s="47">
        <f t="shared" si="5"/>
        <v>623</v>
      </c>
      <c r="G7" s="47">
        <f t="shared" si="5"/>
        <v>0</v>
      </c>
      <c r="H7" s="47">
        <f t="shared" si="5"/>
        <v>0</v>
      </c>
      <c r="I7" s="47">
        <f t="shared" si="5"/>
        <v>0</v>
      </c>
      <c r="J7" s="47">
        <f t="shared" si="5"/>
        <v>0</v>
      </c>
      <c r="K7" s="47">
        <f t="shared" si="5"/>
        <v>0</v>
      </c>
      <c r="L7" s="47">
        <f t="shared" si="5"/>
        <v>0</v>
      </c>
      <c r="M7" s="47">
        <f t="shared" si="5"/>
        <v>0</v>
      </c>
      <c r="N7" s="45">
        <f t="shared" si="5"/>
        <v>62300</v>
      </c>
      <c r="O7" s="48">
        <f t="shared" si="5"/>
        <v>8126.0869565217399</v>
      </c>
      <c r="P7" s="45">
        <f t="shared" si="5"/>
        <v>54173.913043478256</v>
      </c>
      <c r="Q7" s="45">
        <f>IF($A7="","",Setup!S30)</f>
        <v>50</v>
      </c>
      <c r="R7" s="49">
        <f t="shared" si="1"/>
        <v>31150</v>
      </c>
      <c r="S7" s="50">
        <f t="shared" si="1"/>
        <v>23023.913043478256</v>
      </c>
    </row>
    <row r="8" spans="1:19" ht="15" customHeight="1" x14ac:dyDescent="0.2">
      <c r="A8" s="51" t="str">
        <f>IF(Setup!B31="","",Setup!B31)</f>
        <v/>
      </c>
      <c r="B8" s="52" t="str">
        <f>IF($A8="","",Setup!C31)</f>
        <v/>
      </c>
      <c r="C8" s="53" t="str">
        <f>IF($A8="","",Setup!D31)</f>
        <v/>
      </c>
      <c r="D8" s="54" t="str">
        <f>IF($A8="","",Setup!E31)</f>
        <v/>
      </c>
      <c r="E8" s="53" t="str">
        <f t="shared" ref="E8:P8" si="6">IF($A8="","",SUM(E28,E49,E70,E91,E112,E133,E154,E175,E196,E217))</f>
        <v/>
      </c>
      <c r="F8" s="55" t="str">
        <f t="shared" si="6"/>
        <v/>
      </c>
      <c r="G8" s="55" t="str">
        <f t="shared" si="6"/>
        <v/>
      </c>
      <c r="H8" s="55" t="str">
        <f t="shared" si="6"/>
        <v/>
      </c>
      <c r="I8" s="55" t="str">
        <f t="shared" si="6"/>
        <v/>
      </c>
      <c r="J8" s="55" t="str">
        <f t="shared" si="6"/>
        <v/>
      </c>
      <c r="K8" s="55" t="str">
        <f t="shared" si="6"/>
        <v/>
      </c>
      <c r="L8" s="55" t="str">
        <f t="shared" si="6"/>
        <v/>
      </c>
      <c r="M8" s="55" t="str">
        <f t="shared" si="6"/>
        <v/>
      </c>
      <c r="N8" s="53" t="str">
        <f t="shared" si="6"/>
        <v/>
      </c>
      <c r="O8" s="56" t="str">
        <f t="shared" si="6"/>
        <v/>
      </c>
      <c r="P8" s="53" t="str">
        <f t="shared" si="6"/>
        <v/>
      </c>
      <c r="Q8" s="53" t="str">
        <f>IF($A8="","",Setup!S31)</f>
        <v/>
      </c>
      <c r="R8" s="57" t="str">
        <f t="shared" si="1"/>
        <v/>
      </c>
      <c r="S8" s="58" t="str">
        <f t="shared" si="1"/>
        <v/>
      </c>
    </row>
    <row r="9" spans="1:19" ht="15" hidden="1" customHeight="1" x14ac:dyDescent="0.2">
      <c r="A9" s="43" t="str">
        <f>IF(Setup!B32="","",Setup!B32)</f>
        <v/>
      </c>
      <c r="B9" s="44" t="str">
        <f>IF($A9="","",Setup!C32)</f>
        <v/>
      </c>
      <c r="C9" s="45" t="str">
        <f>IF($A9="","",Setup!D32)</f>
        <v/>
      </c>
      <c r="D9" s="46" t="str">
        <f>IF($A9="","",Setup!E32)</f>
        <v/>
      </c>
      <c r="E9" s="45" t="str">
        <f t="shared" ref="E9:P9" si="7">IF($A9="","",SUM(E29,E50,E71,E92,E113,E134,E155,E176,E197,E218))</f>
        <v/>
      </c>
      <c r="F9" s="47" t="str">
        <f t="shared" si="7"/>
        <v/>
      </c>
      <c r="G9" s="47" t="str">
        <f t="shared" si="7"/>
        <v/>
      </c>
      <c r="H9" s="47" t="str">
        <f t="shared" si="7"/>
        <v/>
      </c>
      <c r="I9" s="47" t="str">
        <f t="shared" si="7"/>
        <v/>
      </c>
      <c r="J9" s="47" t="str">
        <f t="shared" si="7"/>
        <v/>
      </c>
      <c r="K9" s="47" t="str">
        <f t="shared" si="7"/>
        <v/>
      </c>
      <c r="L9" s="47" t="str">
        <f t="shared" si="7"/>
        <v/>
      </c>
      <c r="M9" s="47" t="str">
        <f t="shared" si="7"/>
        <v/>
      </c>
      <c r="N9" s="45" t="str">
        <f t="shared" si="7"/>
        <v/>
      </c>
      <c r="O9" s="48" t="str">
        <f t="shared" si="7"/>
        <v/>
      </c>
      <c r="P9" s="45" t="str">
        <f t="shared" si="7"/>
        <v/>
      </c>
      <c r="Q9" s="45" t="str">
        <f>IF($A9="","",Setup!S32)</f>
        <v/>
      </c>
      <c r="R9" s="49" t="str">
        <f t="shared" si="1"/>
        <v/>
      </c>
      <c r="S9" s="50" t="str">
        <f t="shared" si="1"/>
        <v/>
      </c>
    </row>
    <row r="10" spans="1:19" ht="15" hidden="1" customHeight="1" x14ac:dyDescent="0.2">
      <c r="A10" s="51" t="str">
        <f>IF(Setup!B33="","",Setup!B33)</f>
        <v/>
      </c>
      <c r="B10" s="52" t="str">
        <f>IF($A10="","",Setup!C33)</f>
        <v/>
      </c>
      <c r="C10" s="53" t="str">
        <f>IF($A10="","",Setup!D33)</f>
        <v/>
      </c>
      <c r="D10" s="54" t="str">
        <f>IF($A10="","",Setup!E33)</f>
        <v/>
      </c>
      <c r="E10" s="53" t="str">
        <f t="shared" ref="E10:P10" si="8">IF($A10="","",SUM(E30,E51,E72,E93,E114,E135,E156,E177,E198,E219))</f>
        <v/>
      </c>
      <c r="F10" s="55" t="str">
        <f t="shared" si="8"/>
        <v/>
      </c>
      <c r="G10" s="55" t="str">
        <f t="shared" si="8"/>
        <v/>
      </c>
      <c r="H10" s="55" t="str">
        <f t="shared" si="8"/>
        <v/>
      </c>
      <c r="I10" s="55" t="str">
        <f t="shared" si="8"/>
        <v/>
      </c>
      <c r="J10" s="55" t="str">
        <f t="shared" si="8"/>
        <v/>
      </c>
      <c r="K10" s="55" t="str">
        <f t="shared" si="8"/>
        <v/>
      </c>
      <c r="L10" s="55" t="str">
        <f t="shared" si="8"/>
        <v/>
      </c>
      <c r="M10" s="55" t="str">
        <f t="shared" si="8"/>
        <v/>
      </c>
      <c r="N10" s="53" t="str">
        <f t="shared" si="8"/>
        <v/>
      </c>
      <c r="O10" s="56" t="str">
        <f t="shared" si="8"/>
        <v/>
      </c>
      <c r="P10" s="53" t="str">
        <f t="shared" si="8"/>
        <v/>
      </c>
      <c r="Q10" s="53" t="str">
        <f>IF($A10="","",Setup!S33)</f>
        <v/>
      </c>
      <c r="R10" s="57" t="str">
        <f t="shared" si="1"/>
        <v/>
      </c>
      <c r="S10" s="58" t="str">
        <f t="shared" si="1"/>
        <v/>
      </c>
    </row>
    <row r="11" spans="1:19" ht="15" hidden="1" customHeight="1" x14ac:dyDescent="0.2">
      <c r="A11" s="43" t="str">
        <f>IF(Setup!B34="","",Setup!B34)</f>
        <v/>
      </c>
      <c r="B11" s="44" t="str">
        <f>IF($A11="","",Setup!C34)</f>
        <v/>
      </c>
      <c r="C11" s="45" t="str">
        <f>IF($A11="","",Setup!D34)</f>
        <v/>
      </c>
      <c r="D11" s="46" t="str">
        <f>IF($A11="","",Setup!E34)</f>
        <v/>
      </c>
      <c r="E11" s="45" t="str">
        <f t="shared" ref="E11:P11" si="9">IF($A11="","",SUM(E31,E52,E73,E94,E115,E136,E157,E178,E199,E220))</f>
        <v/>
      </c>
      <c r="F11" s="47" t="str">
        <f t="shared" si="9"/>
        <v/>
      </c>
      <c r="G11" s="47" t="str">
        <f t="shared" si="9"/>
        <v/>
      </c>
      <c r="H11" s="47" t="str">
        <f t="shared" si="9"/>
        <v/>
      </c>
      <c r="I11" s="47" t="str">
        <f t="shared" si="9"/>
        <v/>
      </c>
      <c r="J11" s="47" t="str">
        <f t="shared" si="9"/>
        <v/>
      </c>
      <c r="K11" s="47" t="str">
        <f t="shared" si="9"/>
        <v/>
      </c>
      <c r="L11" s="47" t="str">
        <f t="shared" si="9"/>
        <v/>
      </c>
      <c r="M11" s="47" t="str">
        <f t="shared" si="9"/>
        <v/>
      </c>
      <c r="N11" s="45" t="str">
        <f t="shared" si="9"/>
        <v/>
      </c>
      <c r="O11" s="48" t="str">
        <f t="shared" si="9"/>
        <v/>
      </c>
      <c r="P11" s="45" t="str">
        <f t="shared" si="9"/>
        <v/>
      </c>
      <c r="Q11" s="45" t="str">
        <f>IF($A11="","",Setup!S34)</f>
        <v/>
      </c>
      <c r="R11" s="49" t="str">
        <f t="shared" si="1"/>
        <v/>
      </c>
      <c r="S11" s="50" t="str">
        <f t="shared" si="1"/>
        <v/>
      </c>
    </row>
    <row r="12" spans="1:19" ht="15" hidden="1" customHeight="1" x14ac:dyDescent="0.2">
      <c r="A12" s="51" t="str">
        <f>IF(Setup!B35="","",Setup!B35)</f>
        <v/>
      </c>
      <c r="B12" s="52" t="str">
        <f>IF($A12="","",Setup!C35)</f>
        <v/>
      </c>
      <c r="C12" s="53" t="str">
        <f>IF($A12="","",Setup!D35)</f>
        <v/>
      </c>
      <c r="D12" s="54" t="str">
        <f>IF($A12="","",Setup!E35)</f>
        <v/>
      </c>
      <c r="E12" s="53" t="str">
        <f t="shared" ref="E12:P12" si="10">IF($A12="","",SUM(E32,E53,E74,E95,E116,E137,E158,E179,E200,E221))</f>
        <v/>
      </c>
      <c r="F12" s="55" t="str">
        <f t="shared" si="10"/>
        <v/>
      </c>
      <c r="G12" s="55" t="str">
        <f t="shared" si="10"/>
        <v/>
      </c>
      <c r="H12" s="55" t="str">
        <f t="shared" si="10"/>
        <v/>
      </c>
      <c r="I12" s="55" t="str">
        <f t="shared" si="10"/>
        <v/>
      </c>
      <c r="J12" s="55" t="str">
        <f t="shared" si="10"/>
        <v/>
      </c>
      <c r="K12" s="55" t="str">
        <f t="shared" si="10"/>
        <v/>
      </c>
      <c r="L12" s="55" t="str">
        <f t="shared" si="10"/>
        <v/>
      </c>
      <c r="M12" s="55" t="str">
        <f t="shared" si="10"/>
        <v/>
      </c>
      <c r="N12" s="53" t="str">
        <f t="shared" si="10"/>
        <v/>
      </c>
      <c r="O12" s="56" t="str">
        <f t="shared" si="10"/>
        <v/>
      </c>
      <c r="P12" s="53" t="str">
        <f t="shared" si="10"/>
        <v/>
      </c>
      <c r="Q12" s="53" t="str">
        <f>IF($A12="","",Setup!S35)</f>
        <v/>
      </c>
      <c r="R12" s="57" t="str">
        <f t="shared" si="1"/>
        <v/>
      </c>
      <c r="S12" s="58" t="str">
        <f t="shared" si="1"/>
        <v/>
      </c>
    </row>
    <row r="13" spans="1:19" ht="15" hidden="1" customHeight="1" x14ac:dyDescent="0.2">
      <c r="A13" s="43" t="str">
        <f>IF(Setup!B36="","",Setup!B36)</f>
        <v/>
      </c>
      <c r="B13" s="44" t="str">
        <f>IF($A13="","",Setup!C36)</f>
        <v/>
      </c>
      <c r="C13" s="45" t="str">
        <f>IF($A13="","",Setup!D36)</f>
        <v/>
      </c>
      <c r="D13" s="46" t="str">
        <f>IF($A13="","",Setup!E36)</f>
        <v/>
      </c>
      <c r="E13" s="45" t="str">
        <f t="shared" ref="E13:P13" si="11">IF($A13="","",SUM(E33,E54,E75,E96,E117,E138,E159,E180,E201,E222))</f>
        <v/>
      </c>
      <c r="F13" s="47" t="str">
        <f t="shared" si="11"/>
        <v/>
      </c>
      <c r="G13" s="47" t="str">
        <f t="shared" si="11"/>
        <v/>
      </c>
      <c r="H13" s="47" t="str">
        <f t="shared" si="11"/>
        <v/>
      </c>
      <c r="I13" s="47" t="str">
        <f t="shared" si="11"/>
        <v/>
      </c>
      <c r="J13" s="47" t="str">
        <f t="shared" si="11"/>
        <v/>
      </c>
      <c r="K13" s="47" t="str">
        <f t="shared" si="11"/>
        <v/>
      </c>
      <c r="L13" s="47" t="str">
        <f t="shared" si="11"/>
        <v/>
      </c>
      <c r="M13" s="47" t="str">
        <f t="shared" si="11"/>
        <v/>
      </c>
      <c r="N13" s="45" t="str">
        <f t="shared" si="11"/>
        <v/>
      </c>
      <c r="O13" s="48" t="str">
        <f t="shared" si="11"/>
        <v/>
      </c>
      <c r="P13" s="45" t="str">
        <f t="shared" si="11"/>
        <v/>
      </c>
      <c r="Q13" s="45" t="str">
        <f>IF($A13="","",Setup!S36)</f>
        <v/>
      </c>
      <c r="R13" s="49" t="str">
        <f t="shared" si="1"/>
        <v/>
      </c>
      <c r="S13" s="50" t="str">
        <f t="shared" si="1"/>
        <v/>
      </c>
    </row>
    <row r="14" spans="1:19" ht="15" hidden="1" customHeight="1" x14ac:dyDescent="0.2">
      <c r="A14" s="51" t="str">
        <f>IF(Setup!B37="","",Setup!B37)</f>
        <v/>
      </c>
      <c r="B14" s="52" t="str">
        <f>IF($A14="","",Setup!C37)</f>
        <v/>
      </c>
      <c r="C14" s="53" t="str">
        <f>IF($A14="","",Setup!D37)</f>
        <v/>
      </c>
      <c r="D14" s="54" t="str">
        <f>IF($A14="","",Setup!E37)</f>
        <v/>
      </c>
      <c r="E14" s="53" t="str">
        <f t="shared" ref="E14:P14" si="12">IF($A14="","",SUM(E34,E55,E76,E97,E118,E139,E160,E181,E202,E223))</f>
        <v/>
      </c>
      <c r="F14" s="55" t="str">
        <f t="shared" si="12"/>
        <v/>
      </c>
      <c r="G14" s="55" t="str">
        <f t="shared" si="12"/>
        <v/>
      </c>
      <c r="H14" s="55" t="str">
        <f t="shared" si="12"/>
        <v/>
      </c>
      <c r="I14" s="55" t="str">
        <f t="shared" si="12"/>
        <v/>
      </c>
      <c r="J14" s="55" t="str">
        <f t="shared" si="12"/>
        <v/>
      </c>
      <c r="K14" s="55" t="str">
        <f t="shared" si="12"/>
        <v/>
      </c>
      <c r="L14" s="55" t="str">
        <f t="shared" si="12"/>
        <v/>
      </c>
      <c r="M14" s="55" t="str">
        <f t="shared" si="12"/>
        <v/>
      </c>
      <c r="N14" s="53" t="str">
        <f t="shared" si="12"/>
        <v/>
      </c>
      <c r="O14" s="56" t="str">
        <f t="shared" si="12"/>
        <v/>
      </c>
      <c r="P14" s="53" t="str">
        <f t="shared" si="12"/>
        <v/>
      </c>
      <c r="Q14" s="53" t="str">
        <f>IF($A14="","",Setup!S37)</f>
        <v/>
      </c>
      <c r="R14" s="57" t="str">
        <f t="shared" si="1"/>
        <v/>
      </c>
      <c r="S14" s="58" t="str">
        <f t="shared" si="1"/>
        <v/>
      </c>
    </row>
    <row r="15" spans="1:19" ht="15" hidden="1" customHeight="1" x14ac:dyDescent="0.2">
      <c r="A15" s="43" t="str">
        <f>IF(Setup!B38="","",Setup!B38)</f>
        <v/>
      </c>
      <c r="B15" s="44" t="str">
        <f>IF($A15="","",Setup!C38)</f>
        <v/>
      </c>
      <c r="C15" s="45" t="str">
        <f>IF($A15="","",Setup!D38)</f>
        <v/>
      </c>
      <c r="D15" s="46" t="str">
        <f>IF($A15="","",Setup!E38)</f>
        <v/>
      </c>
      <c r="E15" s="45" t="str">
        <f t="shared" ref="E15:P15" si="13">IF($A15="","",SUM(E35,E56,E77,E98,E119,E140,E161,E182,E203,E224))</f>
        <v/>
      </c>
      <c r="F15" s="47" t="str">
        <f t="shared" si="13"/>
        <v/>
      </c>
      <c r="G15" s="47" t="str">
        <f t="shared" si="13"/>
        <v/>
      </c>
      <c r="H15" s="47" t="str">
        <f t="shared" si="13"/>
        <v/>
      </c>
      <c r="I15" s="47" t="str">
        <f t="shared" si="13"/>
        <v/>
      </c>
      <c r="J15" s="47" t="str">
        <f t="shared" si="13"/>
        <v/>
      </c>
      <c r="K15" s="47" t="str">
        <f t="shared" si="13"/>
        <v/>
      </c>
      <c r="L15" s="47" t="str">
        <f t="shared" si="13"/>
        <v/>
      </c>
      <c r="M15" s="47" t="str">
        <f t="shared" si="13"/>
        <v/>
      </c>
      <c r="N15" s="45" t="str">
        <f t="shared" si="13"/>
        <v/>
      </c>
      <c r="O15" s="48" t="str">
        <f t="shared" si="13"/>
        <v/>
      </c>
      <c r="P15" s="45" t="str">
        <f t="shared" si="13"/>
        <v/>
      </c>
      <c r="Q15" s="45" t="str">
        <f>IF($A15="","",Setup!S38)</f>
        <v/>
      </c>
      <c r="R15" s="49" t="str">
        <f t="shared" si="1"/>
        <v/>
      </c>
      <c r="S15" s="50" t="str">
        <f t="shared" si="1"/>
        <v/>
      </c>
    </row>
    <row r="16" spans="1:19" ht="15" hidden="1" customHeight="1" x14ac:dyDescent="0.2">
      <c r="A16" s="51" t="str">
        <f>IF(Setup!B39="","",Setup!B39)</f>
        <v/>
      </c>
      <c r="B16" s="52" t="str">
        <f>IF($A16="","",Setup!C39)</f>
        <v/>
      </c>
      <c r="C16" s="53" t="str">
        <f>IF($A16="","",Setup!D39)</f>
        <v/>
      </c>
      <c r="D16" s="54" t="str">
        <f>IF($A16="","",Setup!E39)</f>
        <v/>
      </c>
      <c r="E16" s="53" t="str">
        <f t="shared" ref="E16:P16" si="14">IF($A16="","",SUM(E36,E57,E78,E99,E120,E141,E162,E183,E204,E225))</f>
        <v/>
      </c>
      <c r="F16" s="55" t="str">
        <f t="shared" si="14"/>
        <v/>
      </c>
      <c r="G16" s="55" t="str">
        <f t="shared" si="14"/>
        <v/>
      </c>
      <c r="H16" s="55" t="str">
        <f t="shared" si="14"/>
        <v/>
      </c>
      <c r="I16" s="55" t="str">
        <f t="shared" si="14"/>
        <v/>
      </c>
      <c r="J16" s="55" t="str">
        <f t="shared" si="14"/>
        <v/>
      </c>
      <c r="K16" s="55" t="str">
        <f t="shared" si="14"/>
        <v/>
      </c>
      <c r="L16" s="55" t="str">
        <f t="shared" si="14"/>
        <v/>
      </c>
      <c r="M16" s="55" t="str">
        <f t="shared" si="14"/>
        <v/>
      </c>
      <c r="N16" s="53" t="str">
        <f t="shared" si="14"/>
        <v/>
      </c>
      <c r="O16" s="56" t="str">
        <f t="shared" si="14"/>
        <v/>
      </c>
      <c r="P16" s="53" t="str">
        <f t="shared" si="14"/>
        <v/>
      </c>
      <c r="Q16" s="53" t="str">
        <f>IF($A16="","",Setup!S39)</f>
        <v/>
      </c>
      <c r="R16" s="57" t="str">
        <f t="shared" si="1"/>
        <v/>
      </c>
      <c r="S16" s="58" t="str">
        <f t="shared" si="1"/>
        <v/>
      </c>
    </row>
    <row r="17" spans="1:19" ht="15" hidden="1" customHeight="1" x14ac:dyDescent="0.2">
      <c r="A17" s="43" t="str">
        <f>IF(Setup!B40="","",Setup!B40)</f>
        <v/>
      </c>
      <c r="B17" s="44" t="str">
        <f>IF($A17="","",Setup!C40)</f>
        <v/>
      </c>
      <c r="C17" s="45" t="str">
        <f>IF($A17="","",Setup!D40)</f>
        <v/>
      </c>
      <c r="D17" s="46" t="str">
        <f>IF($A17="","",Setup!E40)</f>
        <v/>
      </c>
      <c r="E17" s="45" t="str">
        <f t="shared" ref="E17:P17" si="15">IF($A17="","",SUM(E37,E58,E79,E100,E121,E142,E163,E184,E205,E226))</f>
        <v/>
      </c>
      <c r="F17" s="47" t="str">
        <f t="shared" si="15"/>
        <v/>
      </c>
      <c r="G17" s="47" t="str">
        <f t="shared" si="15"/>
        <v/>
      </c>
      <c r="H17" s="47" t="str">
        <f t="shared" si="15"/>
        <v/>
      </c>
      <c r="I17" s="47" t="str">
        <f t="shared" si="15"/>
        <v/>
      </c>
      <c r="J17" s="47" t="str">
        <f t="shared" si="15"/>
        <v/>
      </c>
      <c r="K17" s="47" t="str">
        <f t="shared" si="15"/>
        <v/>
      </c>
      <c r="L17" s="47" t="str">
        <f t="shared" si="15"/>
        <v/>
      </c>
      <c r="M17" s="47" t="str">
        <f t="shared" si="15"/>
        <v/>
      </c>
      <c r="N17" s="45" t="str">
        <f t="shared" si="15"/>
        <v/>
      </c>
      <c r="O17" s="48" t="str">
        <f t="shared" si="15"/>
        <v/>
      </c>
      <c r="P17" s="45" t="str">
        <f t="shared" si="15"/>
        <v/>
      </c>
      <c r="Q17" s="45" t="str">
        <f>IF($A17="","",Setup!S40)</f>
        <v/>
      </c>
      <c r="R17" s="49" t="str">
        <f t="shared" si="1"/>
        <v/>
      </c>
      <c r="S17" s="50" t="str">
        <f t="shared" si="1"/>
        <v/>
      </c>
    </row>
    <row r="18" spans="1:19" ht="15" customHeight="1" x14ac:dyDescent="0.2">
      <c r="A18" s="59" t="s">
        <v>92</v>
      </c>
      <c r="B18" s="26"/>
      <c r="C18" s="26"/>
      <c r="D18" s="26"/>
      <c r="E18" s="26">
        <f t="shared" ref="E18:P18" si="16">SUM(E3:E17)</f>
        <v>886370</v>
      </c>
      <c r="F18" s="25">
        <f t="shared" si="16"/>
        <v>2248</v>
      </c>
      <c r="G18" s="25">
        <f t="shared" si="16"/>
        <v>0</v>
      </c>
      <c r="H18" s="25">
        <f t="shared" si="16"/>
        <v>196</v>
      </c>
      <c r="I18" s="25">
        <f t="shared" si="16"/>
        <v>326</v>
      </c>
      <c r="J18" s="25">
        <f t="shared" si="16"/>
        <v>389</v>
      </c>
      <c r="K18" s="25">
        <f t="shared" si="16"/>
        <v>230</v>
      </c>
      <c r="L18" s="25">
        <f t="shared" si="16"/>
        <v>155</v>
      </c>
      <c r="M18" s="25">
        <f t="shared" si="16"/>
        <v>0</v>
      </c>
      <c r="N18" s="26">
        <f t="shared" si="16"/>
        <v>889850</v>
      </c>
      <c r="O18" s="26">
        <f t="shared" si="16"/>
        <v>116067.39130434784</v>
      </c>
      <c r="P18" s="26">
        <f t="shared" si="16"/>
        <v>773782.60869565222</v>
      </c>
      <c r="Q18" s="26"/>
      <c r="R18" s="26">
        <f>SUM(R3:R17)</f>
        <v>278217</v>
      </c>
      <c r="S18" s="26">
        <f>SUM(S3:S17)</f>
        <v>495565.60869565216</v>
      </c>
    </row>
    <row r="20" spans="1:19" ht="15.75" customHeight="1" x14ac:dyDescent="0.2">
      <c r="A20" s="96" t="str">
        <f>IF(Setup!C9="","Event 1: Not configured",UPPER(Setup!C9&amp;" - "&amp;Setup!D9&amp;" | "&amp;TEXT(Setup!B9,"DD MMM YYYY")))</f>
        <v>CAPE TOWN - GRAND ARENA AT GRANDWEST | 02 JUN 2026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4" t="s">
        <v>93</v>
      </c>
      <c r="O20" s="93"/>
      <c r="P20" s="93"/>
      <c r="Q20" s="92">
        <f>Setup!I9</f>
        <v>157620</v>
      </c>
      <c r="R20" s="93"/>
      <c r="S20" s="93"/>
    </row>
    <row r="21" spans="1:19" ht="15" customHeight="1" x14ac:dyDescent="0.2">
      <c r="A21" s="60" t="s">
        <v>94</v>
      </c>
      <c r="B21" s="61">
        <f>Setup!F9</f>
        <v>5254</v>
      </c>
      <c r="C21" s="62"/>
      <c r="D21" s="60" t="s">
        <v>95</v>
      </c>
      <c r="E21" s="61">
        <f>Setup!G9</f>
        <v>1</v>
      </c>
      <c r="F21" s="62"/>
      <c r="G21" s="60" t="s">
        <v>96</v>
      </c>
      <c r="H21" s="63">
        <f>Setup!H9</f>
        <v>30</v>
      </c>
      <c r="I21" s="62"/>
      <c r="J21" s="60" t="s">
        <v>13</v>
      </c>
      <c r="K21" s="64">
        <f>Setup!B6</f>
        <v>0.15</v>
      </c>
      <c r="L21" s="62"/>
      <c r="M21" s="60" t="s">
        <v>97</v>
      </c>
      <c r="N21" s="63">
        <f>Setup!J9</f>
        <v>0</v>
      </c>
      <c r="O21" s="62"/>
      <c r="P21" s="60" t="s">
        <v>98</v>
      </c>
      <c r="Q21" s="63">
        <f>Setup!L9</f>
        <v>50000</v>
      </c>
      <c r="R21" s="60" t="s">
        <v>99</v>
      </c>
      <c r="S21" s="64">
        <f>Setup!M9</f>
        <v>3.2000000000000001E-2</v>
      </c>
    </row>
    <row r="22" spans="1:19" ht="25.5" customHeight="1" x14ac:dyDescent="0.2">
      <c r="A22" s="28" t="s">
        <v>74</v>
      </c>
      <c r="B22" s="28" t="s">
        <v>49</v>
      </c>
      <c r="C22" s="28" t="s">
        <v>75</v>
      </c>
      <c r="D22" s="28" t="s">
        <v>76</v>
      </c>
      <c r="E22" s="28" t="s">
        <v>77</v>
      </c>
      <c r="F22" s="28" t="s">
        <v>78</v>
      </c>
      <c r="G22" s="28" t="s">
        <v>79</v>
      </c>
      <c r="H22" s="28" t="s">
        <v>80</v>
      </c>
      <c r="I22" s="28" t="s">
        <v>81</v>
      </c>
      <c r="J22" s="28" t="s">
        <v>82</v>
      </c>
      <c r="K22" s="28" t="s">
        <v>83</v>
      </c>
      <c r="L22" s="28" t="s">
        <v>84</v>
      </c>
      <c r="M22" s="28" t="s">
        <v>85</v>
      </c>
      <c r="N22" s="28" t="s">
        <v>86</v>
      </c>
      <c r="O22" s="41" t="s">
        <v>87</v>
      </c>
      <c r="P22" s="42" t="s">
        <v>88</v>
      </c>
      <c r="Q22" s="29" t="s">
        <v>89</v>
      </c>
      <c r="R22" s="29" t="s">
        <v>90</v>
      </c>
      <c r="S22" s="29" t="s">
        <v>91</v>
      </c>
    </row>
    <row r="23" spans="1:19" ht="15" customHeight="1" x14ac:dyDescent="0.2">
      <c r="A23" s="43" t="str">
        <f>IF(Setup!B26="","",Setup!B26)</f>
        <v>Sing Song Black tee</v>
      </c>
      <c r="B23" s="44" t="str">
        <f>IF($A23="","",Setup!C26)</f>
        <v>Apparel</v>
      </c>
      <c r="C23" s="45">
        <f>IF($A23="","",Setup!D26)</f>
        <v>550</v>
      </c>
      <c r="D23" s="46">
        <f>IF($A23="","",Setup!E26)</f>
        <v>0.3</v>
      </c>
      <c r="E23" s="45">
        <f t="shared" ref="E23:E37" si="17">IF(OR($A23="",$Q$20=""),"",$Q$20*D23)</f>
        <v>47286</v>
      </c>
      <c r="F23" s="47">
        <f t="shared" ref="F23:F37" si="18">IF(OR($A23="",C23=0,E23=""),"",ROUNDUP(E23/C23,0))</f>
        <v>86</v>
      </c>
      <c r="G23" s="47">
        <f>IF(OR($A23="",F23=""),"",ROUND(F23*Setup!F26,0))</f>
        <v>0</v>
      </c>
      <c r="H23" s="47">
        <f>IF(OR($A23="",F23=""),"",ROUND(F23*Setup!G26,0))</f>
        <v>13</v>
      </c>
      <c r="I23" s="47">
        <f>IF(OR($A23="",F23=""),"",ROUND(F23*Setup!H26,0))</f>
        <v>22</v>
      </c>
      <c r="J23" s="47">
        <f>IF(OR($A23="",F23=""),"",ROUND(F23*Setup!I26,0))</f>
        <v>26</v>
      </c>
      <c r="K23" s="47">
        <f>IF(OR($A23="",F23=""),"",ROUND(F23*Setup!J26,0))</f>
        <v>15</v>
      </c>
      <c r="L23" s="47">
        <f>IF(OR($A23="",F23=""),"",ROUND(F23*Setup!K26,0))</f>
        <v>10</v>
      </c>
      <c r="M23" s="47">
        <f>IF(OR($A23="",F23=""),"",ROUND(F23*Setup!L26,0))</f>
        <v>0</v>
      </c>
      <c r="N23" s="45">
        <f t="shared" ref="N23:N37" si="19">IF(OR($A23="",F23=""),"",F23*C23)</f>
        <v>47300</v>
      </c>
      <c r="O23" s="48">
        <f>IF(OR($A23="",N23=""),"",N23*Setup!$B$6/(1+Setup!$B$6))</f>
        <v>6169.5652173913049</v>
      </c>
      <c r="P23" s="45">
        <f t="shared" ref="P23:P37" si="20">IF(OR($A23="",N23=""),"",N23-O23)</f>
        <v>41130.434782608696</v>
      </c>
      <c r="Q23" s="49">
        <f>IF($A23="","",Setup!S26)</f>
        <v>169</v>
      </c>
      <c r="R23" s="49">
        <f t="shared" ref="R23:R37" si="21">IF(OR($A23="",F23="",Q23=""),"",F23*Q23)</f>
        <v>14534</v>
      </c>
      <c r="S23" s="50">
        <f t="shared" ref="S23:S37" si="22">IF(OR($A23="",P23="",R23=""),"",P23-R23)</f>
        <v>26596.434782608696</v>
      </c>
    </row>
    <row r="24" spans="1:19" ht="15" customHeight="1" x14ac:dyDescent="0.2">
      <c r="A24" s="51" t="str">
        <f>IF(Setup!B27="","",Setup!B27)</f>
        <v>Kingston Black Tee</v>
      </c>
      <c r="B24" s="52" t="str">
        <f>IF($A24="","",Setup!C27)</f>
        <v>Apparel</v>
      </c>
      <c r="C24" s="53">
        <f>IF($A24="","",Setup!D27)</f>
        <v>550</v>
      </c>
      <c r="D24" s="54">
        <f>IF($A24="","",Setup!E27)</f>
        <v>0.2</v>
      </c>
      <c r="E24" s="53">
        <f t="shared" si="17"/>
        <v>31524</v>
      </c>
      <c r="F24" s="55">
        <f t="shared" si="18"/>
        <v>58</v>
      </c>
      <c r="G24" s="55">
        <f>IF(OR($A24="",F24=""),"",ROUND(F24*Setup!F27,0))</f>
        <v>0</v>
      </c>
      <c r="H24" s="55">
        <f>IF(OR($A24="",F24=""),"",ROUND(F24*Setup!G27,0))</f>
        <v>9</v>
      </c>
      <c r="I24" s="55">
        <f>IF(OR($A24="",F24=""),"",ROUND(F24*Setup!H27,0))</f>
        <v>15</v>
      </c>
      <c r="J24" s="55">
        <f>IF(OR($A24="",F24=""),"",ROUND(F24*Setup!I27,0))</f>
        <v>17</v>
      </c>
      <c r="K24" s="55">
        <f>IF(OR($A24="",F24=""),"",ROUND(F24*Setup!J27,0))</f>
        <v>10</v>
      </c>
      <c r="L24" s="55">
        <f>IF(OR($A24="",F24=""),"",ROUND(F24*Setup!K27,0))</f>
        <v>7</v>
      </c>
      <c r="M24" s="55">
        <f>IF(OR($A24="",F24=""),"",ROUND(F24*Setup!L27,0))</f>
        <v>0</v>
      </c>
      <c r="N24" s="53">
        <f t="shared" si="19"/>
        <v>31900</v>
      </c>
      <c r="O24" s="56">
        <f>IF(OR($A24="",N24=""),"",N24*Setup!$B$6/(1+Setup!$B$6))</f>
        <v>4160.8695652173919</v>
      </c>
      <c r="P24" s="53">
        <f t="shared" si="20"/>
        <v>27739.130434782608</v>
      </c>
      <c r="Q24" s="57">
        <f>IF($A24="","",Setup!S27)</f>
        <v>169</v>
      </c>
      <c r="R24" s="57">
        <f t="shared" si="21"/>
        <v>9802</v>
      </c>
      <c r="S24" s="58">
        <f t="shared" si="22"/>
        <v>17937.130434782608</v>
      </c>
    </row>
    <row r="25" spans="1:19" ht="15" customHeight="1" x14ac:dyDescent="0.2">
      <c r="A25" s="43" t="str">
        <f>IF(Setup!B28="","",Setup!B28)</f>
        <v>Red Red Wine White tee</v>
      </c>
      <c r="B25" s="44" t="str">
        <f>IF($A25="","",Setup!C28)</f>
        <v>Apparel</v>
      </c>
      <c r="C25" s="45">
        <f>IF($A25="","",Setup!D28)</f>
        <v>550</v>
      </c>
      <c r="D25" s="46">
        <f>IF($A25="","",Setup!E28)</f>
        <v>0.3</v>
      </c>
      <c r="E25" s="45">
        <f t="shared" si="17"/>
        <v>47286</v>
      </c>
      <c r="F25" s="47">
        <f t="shared" si="18"/>
        <v>86</v>
      </c>
      <c r="G25" s="47">
        <f>IF(OR($A25="",F25=""),"",ROUND(F25*Setup!F28,0))</f>
        <v>0</v>
      </c>
      <c r="H25" s="47">
        <f>IF(OR($A25="",F25=""),"",ROUND(F25*Setup!G28,0))</f>
        <v>13</v>
      </c>
      <c r="I25" s="47">
        <f>IF(OR($A25="",F25=""),"",ROUND(F25*Setup!H28,0))</f>
        <v>22</v>
      </c>
      <c r="J25" s="47">
        <f>IF(OR($A25="",F25=""),"",ROUND(F25*Setup!I28,0))</f>
        <v>26</v>
      </c>
      <c r="K25" s="47">
        <f>IF(OR($A25="",F25=""),"",ROUND(F25*Setup!J28,0))</f>
        <v>15</v>
      </c>
      <c r="L25" s="47">
        <f>IF(OR($A25="",F25=""),"",ROUND(F25*Setup!K28,0))</f>
        <v>10</v>
      </c>
      <c r="M25" s="47">
        <f>IF(OR($A25="",F25=""),"",ROUND(F25*Setup!L28,0))</f>
        <v>0</v>
      </c>
      <c r="N25" s="45">
        <f t="shared" si="19"/>
        <v>47300</v>
      </c>
      <c r="O25" s="48">
        <f>IF(OR($A25="",N25=""),"",N25*Setup!$B$6/(1+Setup!$B$6))</f>
        <v>6169.5652173913049</v>
      </c>
      <c r="P25" s="45">
        <f t="shared" si="20"/>
        <v>41130.434782608696</v>
      </c>
      <c r="Q25" s="49">
        <f>IF($A25="","",Setup!S28)</f>
        <v>162</v>
      </c>
      <c r="R25" s="49">
        <f t="shared" si="21"/>
        <v>13932</v>
      </c>
      <c r="S25" s="50">
        <f t="shared" si="22"/>
        <v>27198.434782608696</v>
      </c>
    </row>
    <row r="26" spans="1:19" ht="15" customHeight="1" x14ac:dyDescent="0.2">
      <c r="A26" s="51" t="str">
        <f>IF(Setup!B29="","",Setup!B29)</f>
        <v>Cap</v>
      </c>
      <c r="B26" s="52" t="str">
        <f>IF($A26="","",Setup!C29)</f>
        <v>Accessory</v>
      </c>
      <c r="C26" s="53">
        <f>IF($A26="","",Setup!D29)</f>
        <v>350</v>
      </c>
      <c r="D26" s="54">
        <f>IF($A26="","",Setup!E29)</f>
        <v>0.13</v>
      </c>
      <c r="E26" s="53">
        <f t="shared" si="17"/>
        <v>20490.600000000002</v>
      </c>
      <c r="F26" s="55">
        <f t="shared" si="18"/>
        <v>59</v>
      </c>
      <c r="G26" s="55">
        <f>IF(OR($A26="",F26=""),"",ROUND(F26*Setup!F29,0))</f>
        <v>0</v>
      </c>
      <c r="H26" s="55">
        <f>IF(OR($A26="",F26=""),"",ROUND(F26*Setup!G29,0))</f>
        <v>0</v>
      </c>
      <c r="I26" s="55">
        <f>IF(OR($A26="",F26=""),"",ROUND(F26*Setup!H29,0))</f>
        <v>0</v>
      </c>
      <c r="J26" s="55">
        <f>IF(OR($A26="",F26=""),"",ROUND(F26*Setup!I29,0))</f>
        <v>0</v>
      </c>
      <c r="K26" s="55">
        <f>IF(OR($A26="",F26=""),"",ROUND(F26*Setup!J29,0))</f>
        <v>0</v>
      </c>
      <c r="L26" s="55">
        <f>IF(OR($A26="",F26=""),"",ROUND(F26*Setup!K29,0))</f>
        <v>0</v>
      </c>
      <c r="M26" s="55">
        <f>IF(OR($A26="",F26=""),"",ROUND(F26*Setup!L29,0))</f>
        <v>0</v>
      </c>
      <c r="N26" s="53">
        <f t="shared" si="19"/>
        <v>20650</v>
      </c>
      <c r="O26" s="56">
        <f>IF(OR($A26="",N26=""),"",N26*Setup!$B$6/(1+Setup!$B$6))</f>
        <v>2693.4782608695655</v>
      </c>
      <c r="P26" s="53">
        <f t="shared" si="20"/>
        <v>17956.521739130436</v>
      </c>
      <c r="Q26" s="57">
        <f>IF($A26="","",Setup!S29)</f>
        <v>96</v>
      </c>
      <c r="R26" s="57">
        <f t="shared" si="21"/>
        <v>5664</v>
      </c>
      <c r="S26" s="58">
        <f t="shared" si="22"/>
        <v>12292.521739130436</v>
      </c>
    </row>
    <row r="27" spans="1:19" ht="15" customHeight="1" x14ac:dyDescent="0.2">
      <c r="A27" s="43" t="str">
        <f>IF(Setup!B30="","",Setup!B30)</f>
        <v>Tote</v>
      </c>
      <c r="B27" s="44" t="str">
        <f>IF($A27="","",Setup!C30)</f>
        <v>Accessory</v>
      </c>
      <c r="C27" s="45">
        <f>IF($A27="","",Setup!D30)</f>
        <v>100</v>
      </c>
      <c r="D27" s="46">
        <f>IF($A27="","",Setup!E30)</f>
        <v>7.0000000000000007E-2</v>
      </c>
      <c r="E27" s="45">
        <f t="shared" si="17"/>
        <v>11033.400000000001</v>
      </c>
      <c r="F27" s="47">
        <f t="shared" si="18"/>
        <v>111</v>
      </c>
      <c r="G27" s="47">
        <f>IF(OR($A27="",F27=""),"",ROUND(F27*Setup!F30,0))</f>
        <v>0</v>
      </c>
      <c r="H27" s="47">
        <f>IF(OR($A27="",F27=""),"",ROUND(F27*Setup!G30,0))</f>
        <v>0</v>
      </c>
      <c r="I27" s="47">
        <f>IF(OR($A27="",F27=""),"",ROUND(F27*Setup!H30,0))</f>
        <v>0</v>
      </c>
      <c r="J27" s="47">
        <f>IF(OR($A27="",F27=""),"",ROUND(F27*Setup!I30,0))</f>
        <v>0</v>
      </c>
      <c r="K27" s="47">
        <f>IF(OR($A27="",F27=""),"",ROUND(F27*Setup!J30,0))</f>
        <v>0</v>
      </c>
      <c r="L27" s="47">
        <f>IF(OR($A27="",F27=""),"",ROUND(F27*Setup!K30,0))</f>
        <v>0</v>
      </c>
      <c r="M27" s="47">
        <f>IF(OR($A27="",F27=""),"",ROUND(F27*Setup!L30,0))</f>
        <v>0</v>
      </c>
      <c r="N27" s="45">
        <f t="shared" si="19"/>
        <v>11100</v>
      </c>
      <c r="O27" s="48">
        <f>IF(OR($A27="",N27=""),"",N27*Setup!$B$6/(1+Setup!$B$6))</f>
        <v>1447.8260869565217</v>
      </c>
      <c r="P27" s="45">
        <f t="shared" si="20"/>
        <v>9652.173913043478</v>
      </c>
      <c r="Q27" s="49">
        <f>IF($A27="","",Setup!S30)</f>
        <v>50</v>
      </c>
      <c r="R27" s="49">
        <f t="shared" si="21"/>
        <v>5550</v>
      </c>
      <c r="S27" s="50">
        <f t="shared" si="22"/>
        <v>4102.173913043478</v>
      </c>
    </row>
    <row r="28" spans="1:19" ht="15" customHeight="1" x14ac:dyDescent="0.2">
      <c r="A28" s="51" t="str">
        <f>IF(Setup!B31="","",Setup!B31)</f>
        <v/>
      </c>
      <c r="B28" s="52" t="str">
        <f>IF($A28="","",Setup!C31)</f>
        <v/>
      </c>
      <c r="C28" s="53" t="str">
        <f>IF($A28="","",Setup!D31)</f>
        <v/>
      </c>
      <c r="D28" s="54" t="str">
        <f>IF($A28="","",Setup!E31)</f>
        <v/>
      </c>
      <c r="E28" s="53" t="str">
        <f t="shared" si="17"/>
        <v/>
      </c>
      <c r="F28" s="55" t="str">
        <f t="shared" si="18"/>
        <v/>
      </c>
      <c r="G28" s="55" t="str">
        <f>IF(OR($A28="",F28=""),"",ROUND(F28*Setup!F31,0))</f>
        <v/>
      </c>
      <c r="H28" s="55" t="str">
        <f>IF(OR($A28="",F28=""),"",ROUND(F28*Setup!G31,0))</f>
        <v/>
      </c>
      <c r="I28" s="55" t="str">
        <f>IF(OR($A28="",F28=""),"",ROUND(F28*Setup!H31,0))</f>
        <v/>
      </c>
      <c r="J28" s="55" t="str">
        <f>IF(OR($A28="",F28=""),"",ROUND(F28*Setup!I31,0))</f>
        <v/>
      </c>
      <c r="K28" s="55" t="str">
        <f>IF(OR($A28="",F28=""),"",ROUND(F28*Setup!J31,0))</f>
        <v/>
      </c>
      <c r="L28" s="55" t="str">
        <f>IF(OR($A28="",F28=""),"",ROUND(F28*Setup!K31,0))</f>
        <v/>
      </c>
      <c r="M28" s="55" t="str">
        <f>IF(OR($A28="",F28=""),"",ROUND(F28*Setup!L31,0))</f>
        <v/>
      </c>
      <c r="N28" s="53" t="str">
        <f t="shared" si="19"/>
        <v/>
      </c>
      <c r="O28" s="56" t="str">
        <f>IF(OR($A28="",N28=""),"",N28*Setup!$B$6/(1+Setup!$B$6))</f>
        <v/>
      </c>
      <c r="P28" s="53" t="str">
        <f t="shared" si="20"/>
        <v/>
      </c>
      <c r="Q28" s="57" t="str">
        <f>IF($A28="","",Setup!S31)</f>
        <v/>
      </c>
      <c r="R28" s="57" t="str">
        <f t="shared" si="21"/>
        <v/>
      </c>
      <c r="S28" s="58" t="str">
        <f t="shared" si="22"/>
        <v/>
      </c>
    </row>
    <row r="29" spans="1:19" ht="15" hidden="1" customHeight="1" x14ac:dyDescent="0.2">
      <c r="A29" s="43" t="str">
        <f>IF(Setup!B32="","",Setup!B32)</f>
        <v/>
      </c>
      <c r="B29" s="44" t="str">
        <f>IF($A29="","",Setup!C32)</f>
        <v/>
      </c>
      <c r="C29" s="45" t="str">
        <f>IF($A29="","",Setup!D32)</f>
        <v/>
      </c>
      <c r="D29" s="46" t="str">
        <f>IF($A29="","",Setup!E32)</f>
        <v/>
      </c>
      <c r="E29" s="45" t="str">
        <f t="shared" si="17"/>
        <v/>
      </c>
      <c r="F29" s="47" t="str">
        <f t="shared" si="18"/>
        <v/>
      </c>
      <c r="G29" s="47" t="str">
        <f>IF(OR($A29="",F29=""),"",ROUND(F29*Setup!F32,0))</f>
        <v/>
      </c>
      <c r="H29" s="47" t="str">
        <f>IF(OR($A29="",F29=""),"",ROUND(F29*Setup!G32,0))</f>
        <v/>
      </c>
      <c r="I29" s="47" t="str">
        <f>IF(OR($A29="",F29=""),"",ROUND(F29*Setup!H32,0))</f>
        <v/>
      </c>
      <c r="J29" s="47" t="str">
        <f>IF(OR($A29="",F29=""),"",ROUND(F29*Setup!I32,0))</f>
        <v/>
      </c>
      <c r="K29" s="47" t="str">
        <f>IF(OR($A29="",F29=""),"",ROUND(F29*Setup!J32,0))</f>
        <v/>
      </c>
      <c r="L29" s="47" t="str">
        <f>IF(OR($A29="",F29=""),"",ROUND(F29*Setup!K32,0))</f>
        <v/>
      </c>
      <c r="M29" s="47" t="str">
        <f>IF(OR($A29="",F29=""),"",ROUND(F29*Setup!L32,0))</f>
        <v/>
      </c>
      <c r="N29" s="45" t="str">
        <f t="shared" si="19"/>
        <v/>
      </c>
      <c r="O29" s="48" t="str">
        <f>IF(OR($A29="",N29=""),"",N29*Setup!$B$6/(1+Setup!$B$6))</f>
        <v/>
      </c>
      <c r="P29" s="45" t="str">
        <f t="shared" si="20"/>
        <v/>
      </c>
      <c r="Q29" s="49" t="str">
        <f>IF($A29="","",Setup!S32)</f>
        <v/>
      </c>
      <c r="R29" s="49" t="str">
        <f t="shared" si="21"/>
        <v/>
      </c>
      <c r="S29" s="50" t="str">
        <f t="shared" si="22"/>
        <v/>
      </c>
    </row>
    <row r="30" spans="1:19" ht="15" hidden="1" customHeight="1" x14ac:dyDescent="0.2">
      <c r="A30" s="51" t="str">
        <f>IF(Setup!B33="","",Setup!B33)</f>
        <v/>
      </c>
      <c r="B30" s="52" t="str">
        <f>IF($A30="","",Setup!C33)</f>
        <v/>
      </c>
      <c r="C30" s="53" t="str">
        <f>IF($A30="","",Setup!D33)</f>
        <v/>
      </c>
      <c r="D30" s="54" t="str">
        <f>IF($A30="","",Setup!E33)</f>
        <v/>
      </c>
      <c r="E30" s="53" t="str">
        <f t="shared" si="17"/>
        <v/>
      </c>
      <c r="F30" s="55" t="str">
        <f t="shared" si="18"/>
        <v/>
      </c>
      <c r="G30" s="55" t="str">
        <f>IF(OR($A30="",F30=""),"",ROUND(F30*Setup!F33,0))</f>
        <v/>
      </c>
      <c r="H30" s="55" t="str">
        <f>IF(OR($A30="",F30=""),"",ROUND(F30*Setup!G33,0))</f>
        <v/>
      </c>
      <c r="I30" s="55" t="str">
        <f>IF(OR($A30="",F30=""),"",ROUND(F30*Setup!H33,0))</f>
        <v/>
      </c>
      <c r="J30" s="55" t="str">
        <f>IF(OR($A30="",F30=""),"",ROUND(F30*Setup!I33,0))</f>
        <v/>
      </c>
      <c r="K30" s="55" t="str">
        <f>IF(OR($A30="",F30=""),"",ROUND(F30*Setup!J33,0))</f>
        <v/>
      </c>
      <c r="L30" s="55" t="str">
        <f>IF(OR($A30="",F30=""),"",ROUND(F30*Setup!K33,0))</f>
        <v/>
      </c>
      <c r="M30" s="55" t="str">
        <f>IF(OR($A30="",F30=""),"",ROUND(F30*Setup!L33,0))</f>
        <v/>
      </c>
      <c r="N30" s="53" t="str">
        <f t="shared" si="19"/>
        <v/>
      </c>
      <c r="O30" s="56" t="str">
        <f>IF(OR($A30="",N30=""),"",N30*Setup!$B$6/(1+Setup!$B$6))</f>
        <v/>
      </c>
      <c r="P30" s="53" t="str">
        <f t="shared" si="20"/>
        <v/>
      </c>
      <c r="Q30" s="57" t="str">
        <f>IF($A30="","",Setup!S33)</f>
        <v/>
      </c>
      <c r="R30" s="57" t="str">
        <f t="shared" si="21"/>
        <v/>
      </c>
      <c r="S30" s="58" t="str">
        <f t="shared" si="22"/>
        <v/>
      </c>
    </row>
    <row r="31" spans="1:19" ht="15" hidden="1" customHeight="1" x14ac:dyDescent="0.2">
      <c r="A31" s="43" t="str">
        <f>IF(Setup!B34="","",Setup!B34)</f>
        <v/>
      </c>
      <c r="B31" s="44" t="str">
        <f>IF($A31="","",Setup!C34)</f>
        <v/>
      </c>
      <c r="C31" s="45" t="str">
        <f>IF($A31="","",Setup!D34)</f>
        <v/>
      </c>
      <c r="D31" s="46" t="str">
        <f>IF($A31="","",Setup!E34)</f>
        <v/>
      </c>
      <c r="E31" s="45" t="str">
        <f t="shared" si="17"/>
        <v/>
      </c>
      <c r="F31" s="47" t="str">
        <f t="shared" si="18"/>
        <v/>
      </c>
      <c r="G31" s="47" t="str">
        <f>IF(OR($A31="",F31=""),"",ROUND(F31*Setup!F34,0))</f>
        <v/>
      </c>
      <c r="H31" s="47" t="str">
        <f>IF(OR($A31="",F31=""),"",ROUND(F31*Setup!G34,0))</f>
        <v/>
      </c>
      <c r="I31" s="47" t="str">
        <f>IF(OR($A31="",F31=""),"",ROUND(F31*Setup!H34,0))</f>
        <v/>
      </c>
      <c r="J31" s="47" t="str">
        <f>IF(OR($A31="",F31=""),"",ROUND(F31*Setup!I34,0))</f>
        <v/>
      </c>
      <c r="K31" s="47" t="str">
        <f>IF(OR($A31="",F31=""),"",ROUND(F31*Setup!J34,0))</f>
        <v/>
      </c>
      <c r="L31" s="47" t="str">
        <f>IF(OR($A31="",F31=""),"",ROUND(F31*Setup!K34,0))</f>
        <v/>
      </c>
      <c r="M31" s="47" t="str">
        <f>IF(OR($A31="",F31=""),"",ROUND(F31*Setup!L34,0))</f>
        <v/>
      </c>
      <c r="N31" s="45" t="str">
        <f t="shared" si="19"/>
        <v/>
      </c>
      <c r="O31" s="48" t="str">
        <f>IF(OR($A31="",N31=""),"",N31*Setup!$B$6/(1+Setup!$B$6))</f>
        <v/>
      </c>
      <c r="P31" s="45" t="str">
        <f t="shared" si="20"/>
        <v/>
      </c>
      <c r="Q31" s="49" t="str">
        <f>IF($A31="","",Setup!S34)</f>
        <v/>
      </c>
      <c r="R31" s="49" t="str">
        <f t="shared" si="21"/>
        <v/>
      </c>
      <c r="S31" s="50" t="str">
        <f t="shared" si="22"/>
        <v/>
      </c>
    </row>
    <row r="32" spans="1:19" ht="15" hidden="1" customHeight="1" x14ac:dyDescent="0.2">
      <c r="A32" s="51" t="str">
        <f>IF(Setup!B35="","",Setup!B35)</f>
        <v/>
      </c>
      <c r="B32" s="52" t="str">
        <f>IF($A32="","",Setup!C35)</f>
        <v/>
      </c>
      <c r="C32" s="53" t="str">
        <f>IF($A32="","",Setup!D35)</f>
        <v/>
      </c>
      <c r="D32" s="54" t="str">
        <f>IF($A32="","",Setup!E35)</f>
        <v/>
      </c>
      <c r="E32" s="53" t="str">
        <f t="shared" si="17"/>
        <v/>
      </c>
      <c r="F32" s="55" t="str">
        <f t="shared" si="18"/>
        <v/>
      </c>
      <c r="G32" s="55" t="str">
        <f>IF(OR($A32="",F32=""),"",ROUND(F32*Setup!F35,0))</f>
        <v/>
      </c>
      <c r="H32" s="55" t="str">
        <f>IF(OR($A32="",F32=""),"",ROUND(F32*Setup!G35,0))</f>
        <v/>
      </c>
      <c r="I32" s="55" t="str">
        <f>IF(OR($A32="",F32=""),"",ROUND(F32*Setup!H35,0))</f>
        <v/>
      </c>
      <c r="J32" s="55" t="str">
        <f>IF(OR($A32="",F32=""),"",ROUND(F32*Setup!I35,0))</f>
        <v/>
      </c>
      <c r="K32" s="55" t="str">
        <f>IF(OR($A32="",F32=""),"",ROUND(F32*Setup!J35,0))</f>
        <v/>
      </c>
      <c r="L32" s="55" t="str">
        <f>IF(OR($A32="",F32=""),"",ROUND(F32*Setup!K35,0))</f>
        <v/>
      </c>
      <c r="M32" s="55" t="str">
        <f>IF(OR($A32="",F32=""),"",ROUND(F32*Setup!L35,0))</f>
        <v/>
      </c>
      <c r="N32" s="53" t="str">
        <f t="shared" si="19"/>
        <v/>
      </c>
      <c r="O32" s="56" t="str">
        <f>IF(OR($A32="",N32=""),"",N32*Setup!$B$6/(1+Setup!$B$6))</f>
        <v/>
      </c>
      <c r="P32" s="53" t="str">
        <f t="shared" si="20"/>
        <v/>
      </c>
      <c r="Q32" s="57" t="str">
        <f>IF($A32="","",Setup!S35)</f>
        <v/>
      </c>
      <c r="R32" s="57" t="str">
        <f t="shared" si="21"/>
        <v/>
      </c>
      <c r="S32" s="58" t="str">
        <f t="shared" si="22"/>
        <v/>
      </c>
    </row>
    <row r="33" spans="1:19" ht="15" hidden="1" customHeight="1" x14ac:dyDescent="0.2">
      <c r="A33" s="43" t="str">
        <f>IF(Setup!B36="","",Setup!B36)</f>
        <v/>
      </c>
      <c r="B33" s="44" t="str">
        <f>IF($A33="","",Setup!C36)</f>
        <v/>
      </c>
      <c r="C33" s="45" t="str">
        <f>IF($A33="","",Setup!D36)</f>
        <v/>
      </c>
      <c r="D33" s="46" t="str">
        <f>IF($A33="","",Setup!E36)</f>
        <v/>
      </c>
      <c r="E33" s="45" t="str">
        <f t="shared" si="17"/>
        <v/>
      </c>
      <c r="F33" s="47" t="str">
        <f t="shared" si="18"/>
        <v/>
      </c>
      <c r="G33" s="47" t="str">
        <f>IF(OR($A33="",F33=""),"",ROUND(F33*Setup!F36,0))</f>
        <v/>
      </c>
      <c r="H33" s="47" t="str">
        <f>IF(OR($A33="",F33=""),"",ROUND(F33*Setup!G36,0))</f>
        <v/>
      </c>
      <c r="I33" s="47" t="str">
        <f>IF(OR($A33="",F33=""),"",ROUND(F33*Setup!H36,0))</f>
        <v/>
      </c>
      <c r="J33" s="47" t="str">
        <f>IF(OR($A33="",F33=""),"",ROUND(F33*Setup!I36,0))</f>
        <v/>
      </c>
      <c r="K33" s="47" t="str">
        <f>IF(OR($A33="",F33=""),"",ROUND(F33*Setup!J36,0))</f>
        <v/>
      </c>
      <c r="L33" s="47" t="str">
        <f>IF(OR($A33="",F33=""),"",ROUND(F33*Setup!K36,0))</f>
        <v/>
      </c>
      <c r="M33" s="47" t="str">
        <f>IF(OR($A33="",F33=""),"",ROUND(F33*Setup!L36,0))</f>
        <v/>
      </c>
      <c r="N33" s="45" t="str">
        <f t="shared" si="19"/>
        <v/>
      </c>
      <c r="O33" s="48" t="str">
        <f>IF(OR($A33="",N33=""),"",N33*Setup!$B$6/(1+Setup!$B$6))</f>
        <v/>
      </c>
      <c r="P33" s="45" t="str">
        <f t="shared" si="20"/>
        <v/>
      </c>
      <c r="Q33" s="49" t="str">
        <f>IF($A33="","",Setup!S36)</f>
        <v/>
      </c>
      <c r="R33" s="49" t="str">
        <f t="shared" si="21"/>
        <v/>
      </c>
      <c r="S33" s="50" t="str">
        <f t="shared" si="22"/>
        <v/>
      </c>
    </row>
    <row r="34" spans="1:19" ht="15" hidden="1" customHeight="1" x14ac:dyDescent="0.2">
      <c r="A34" s="51" t="str">
        <f>IF(Setup!B37="","",Setup!B37)</f>
        <v/>
      </c>
      <c r="B34" s="52" t="str">
        <f>IF($A34="","",Setup!C37)</f>
        <v/>
      </c>
      <c r="C34" s="53" t="str">
        <f>IF($A34="","",Setup!D37)</f>
        <v/>
      </c>
      <c r="D34" s="54" t="str">
        <f>IF($A34="","",Setup!E37)</f>
        <v/>
      </c>
      <c r="E34" s="53" t="str">
        <f t="shared" si="17"/>
        <v/>
      </c>
      <c r="F34" s="55" t="str">
        <f t="shared" si="18"/>
        <v/>
      </c>
      <c r="G34" s="55" t="str">
        <f>IF(OR($A34="",F34=""),"",ROUND(F34*Setup!F37,0))</f>
        <v/>
      </c>
      <c r="H34" s="55" t="str">
        <f>IF(OR($A34="",F34=""),"",ROUND(F34*Setup!G37,0))</f>
        <v/>
      </c>
      <c r="I34" s="55" t="str">
        <f>IF(OR($A34="",F34=""),"",ROUND(F34*Setup!H37,0))</f>
        <v/>
      </c>
      <c r="J34" s="55" t="str">
        <f>IF(OR($A34="",F34=""),"",ROUND(F34*Setup!I37,0))</f>
        <v/>
      </c>
      <c r="K34" s="55" t="str">
        <f>IF(OR($A34="",F34=""),"",ROUND(F34*Setup!J37,0))</f>
        <v/>
      </c>
      <c r="L34" s="55" t="str">
        <f>IF(OR($A34="",F34=""),"",ROUND(F34*Setup!K37,0))</f>
        <v/>
      </c>
      <c r="M34" s="55" t="str">
        <f>IF(OR($A34="",F34=""),"",ROUND(F34*Setup!L37,0))</f>
        <v/>
      </c>
      <c r="N34" s="53" t="str">
        <f t="shared" si="19"/>
        <v/>
      </c>
      <c r="O34" s="56" t="str">
        <f>IF(OR($A34="",N34=""),"",N34*Setup!$B$6/(1+Setup!$B$6))</f>
        <v/>
      </c>
      <c r="P34" s="53" t="str">
        <f t="shared" si="20"/>
        <v/>
      </c>
      <c r="Q34" s="57" t="str">
        <f>IF($A34="","",Setup!S37)</f>
        <v/>
      </c>
      <c r="R34" s="57" t="str">
        <f t="shared" si="21"/>
        <v/>
      </c>
      <c r="S34" s="58" t="str">
        <f t="shared" si="22"/>
        <v/>
      </c>
    </row>
    <row r="35" spans="1:19" ht="15" hidden="1" customHeight="1" x14ac:dyDescent="0.2">
      <c r="A35" s="43" t="str">
        <f>IF(Setup!B38="","",Setup!B38)</f>
        <v/>
      </c>
      <c r="B35" s="44" t="str">
        <f>IF($A35="","",Setup!C38)</f>
        <v/>
      </c>
      <c r="C35" s="45" t="str">
        <f>IF($A35="","",Setup!D38)</f>
        <v/>
      </c>
      <c r="D35" s="46" t="str">
        <f>IF($A35="","",Setup!E38)</f>
        <v/>
      </c>
      <c r="E35" s="45" t="str">
        <f t="shared" si="17"/>
        <v/>
      </c>
      <c r="F35" s="47" t="str">
        <f t="shared" si="18"/>
        <v/>
      </c>
      <c r="G35" s="47" t="str">
        <f>IF(OR($A35="",F35=""),"",ROUND(F35*Setup!F38,0))</f>
        <v/>
      </c>
      <c r="H35" s="47" t="str">
        <f>IF(OR($A35="",F35=""),"",ROUND(F35*Setup!G38,0))</f>
        <v/>
      </c>
      <c r="I35" s="47" t="str">
        <f>IF(OR($A35="",F35=""),"",ROUND(F35*Setup!H38,0))</f>
        <v/>
      </c>
      <c r="J35" s="47" t="str">
        <f>IF(OR($A35="",F35=""),"",ROUND(F35*Setup!I38,0))</f>
        <v/>
      </c>
      <c r="K35" s="47" t="str">
        <f>IF(OR($A35="",F35=""),"",ROUND(F35*Setup!J38,0))</f>
        <v/>
      </c>
      <c r="L35" s="47" t="str">
        <f>IF(OR($A35="",F35=""),"",ROUND(F35*Setup!K38,0))</f>
        <v/>
      </c>
      <c r="M35" s="47" t="str">
        <f>IF(OR($A35="",F35=""),"",ROUND(F35*Setup!L38,0))</f>
        <v/>
      </c>
      <c r="N35" s="45" t="str">
        <f t="shared" si="19"/>
        <v/>
      </c>
      <c r="O35" s="48" t="str">
        <f>IF(OR($A35="",N35=""),"",N35*Setup!$B$6/(1+Setup!$B$6))</f>
        <v/>
      </c>
      <c r="P35" s="45" t="str">
        <f t="shared" si="20"/>
        <v/>
      </c>
      <c r="Q35" s="49" t="str">
        <f>IF($A35="","",Setup!S38)</f>
        <v/>
      </c>
      <c r="R35" s="49" t="str">
        <f t="shared" si="21"/>
        <v/>
      </c>
      <c r="S35" s="50" t="str">
        <f t="shared" si="22"/>
        <v/>
      </c>
    </row>
    <row r="36" spans="1:19" ht="15" hidden="1" customHeight="1" x14ac:dyDescent="0.2">
      <c r="A36" s="51" t="str">
        <f>IF(Setup!B39="","",Setup!B39)</f>
        <v/>
      </c>
      <c r="B36" s="52" t="str">
        <f>IF($A36="","",Setup!C39)</f>
        <v/>
      </c>
      <c r="C36" s="53" t="str">
        <f>IF($A36="","",Setup!D39)</f>
        <v/>
      </c>
      <c r="D36" s="54" t="str">
        <f>IF($A36="","",Setup!E39)</f>
        <v/>
      </c>
      <c r="E36" s="53" t="str">
        <f t="shared" si="17"/>
        <v/>
      </c>
      <c r="F36" s="55" t="str">
        <f t="shared" si="18"/>
        <v/>
      </c>
      <c r="G36" s="55" t="str">
        <f>IF(OR($A36="",F36=""),"",ROUND(F36*Setup!F39,0))</f>
        <v/>
      </c>
      <c r="H36" s="55" t="str">
        <f>IF(OR($A36="",F36=""),"",ROUND(F36*Setup!G39,0))</f>
        <v/>
      </c>
      <c r="I36" s="55" t="str">
        <f>IF(OR($A36="",F36=""),"",ROUND(F36*Setup!H39,0))</f>
        <v/>
      </c>
      <c r="J36" s="55" t="str">
        <f>IF(OR($A36="",F36=""),"",ROUND(F36*Setup!I39,0))</f>
        <v/>
      </c>
      <c r="K36" s="55" t="str">
        <f>IF(OR($A36="",F36=""),"",ROUND(F36*Setup!J39,0))</f>
        <v/>
      </c>
      <c r="L36" s="55" t="str">
        <f>IF(OR($A36="",F36=""),"",ROUND(F36*Setup!K39,0))</f>
        <v/>
      </c>
      <c r="M36" s="55" t="str">
        <f>IF(OR($A36="",F36=""),"",ROUND(F36*Setup!L39,0))</f>
        <v/>
      </c>
      <c r="N36" s="53" t="str">
        <f t="shared" si="19"/>
        <v/>
      </c>
      <c r="O36" s="56" t="str">
        <f>IF(OR($A36="",N36=""),"",N36*Setup!$B$6/(1+Setup!$B$6))</f>
        <v/>
      </c>
      <c r="P36" s="53" t="str">
        <f t="shared" si="20"/>
        <v/>
      </c>
      <c r="Q36" s="57" t="str">
        <f>IF($A36="","",Setup!S39)</f>
        <v/>
      </c>
      <c r="R36" s="57" t="str">
        <f t="shared" si="21"/>
        <v/>
      </c>
      <c r="S36" s="58" t="str">
        <f t="shared" si="22"/>
        <v/>
      </c>
    </row>
    <row r="37" spans="1:19" ht="15" hidden="1" customHeight="1" x14ac:dyDescent="0.2">
      <c r="A37" s="43" t="str">
        <f>IF(Setup!B40="","",Setup!B40)</f>
        <v/>
      </c>
      <c r="B37" s="44" t="str">
        <f>IF($A37="","",Setup!C40)</f>
        <v/>
      </c>
      <c r="C37" s="45" t="str">
        <f>IF($A37="","",Setup!D40)</f>
        <v/>
      </c>
      <c r="D37" s="46" t="str">
        <f>IF($A37="","",Setup!E40)</f>
        <v/>
      </c>
      <c r="E37" s="45" t="str">
        <f t="shared" si="17"/>
        <v/>
      </c>
      <c r="F37" s="47" t="str">
        <f t="shared" si="18"/>
        <v/>
      </c>
      <c r="G37" s="47" t="str">
        <f>IF(OR($A37="",F37=""),"",ROUND(F37*Setup!F40,0))</f>
        <v/>
      </c>
      <c r="H37" s="47" t="str">
        <f>IF(OR($A37="",F37=""),"",ROUND(F37*Setup!G40,0))</f>
        <v/>
      </c>
      <c r="I37" s="47" t="str">
        <f>IF(OR($A37="",F37=""),"",ROUND(F37*Setup!H40,0))</f>
        <v/>
      </c>
      <c r="J37" s="47" t="str">
        <f>IF(OR($A37="",F37=""),"",ROUND(F37*Setup!I40,0))</f>
        <v/>
      </c>
      <c r="K37" s="47" t="str">
        <f>IF(OR($A37="",F37=""),"",ROUND(F37*Setup!J40,0))</f>
        <v/>
      </c>
      <c r="L37" s="47" t="str">
        <f>IF(OR($A37="",F37=""),"",ROUND(F37*Setup!K40,0))</f>
        <v/>
      </c>
      <c r="M37" s="47" t="str">
        <f>IF(OR($A37="",F37=""),"",ROUND(F37*Setup!L40,0))</f>
        <v/>
      </c>
      <c r="N37" s="45" t="str">
        <f t="shared" si="19"/>
        <v/>
      </c>
      <c r="O37" s="48" t="str">
        <f>IF(OR($A37="",N37=""),"",N37*Setup!$B$6/(1+Setup!$B$6))</f>
        <v/>
      </c>
      <c r="P37" s="45" t="str">
        <f t="shared" si="20"/>
        <v/>
      </c>
      <c r="Q37" s="49" t="str">
        <f>IF($A37="","",Setup!S40)</f>
        <v/>
      </c>
      <c r="R37" s="49" t="str">
        <f t="shared" si="21"/>
        <v/>
      </c>
      <c r="S37" s="50" t="str">
        <f t="shared" si="22"/>
        <v/>
      </c>
    </row>
    <row r="38" spans="1:19" ht="15" customHeight="1" x14ac:dyDescent="0.2">
      <c r="A38" s="59" t="s">
        <v>100</v>
      </c>
      <c r="B38" s="26"/>
      <c r="C38" s="26"/>
      <c r="D38" s="26"/>
      <c r="E38" s="26">
        <f t="shared" ref="E38:P38" si="23">SUM(E23:E37)</f>
        <v>157620</v>
      </c>
      <c r="F38" s="25">
        <f t="shared" si="23"/>
        <v>400</v>
      </c>
      <c r="G38" s="25">
        <f t="shared" si="23"/>
        <v>0</v>
      </c>
      <c r="H38" s="25">
        <f t="shared" si="23"/>
        <v>35</v>
      </c>
      <c r="I38" s="25">
        <f t="shared" si="23"/>
        <v>59</v>
      </c>
      <c r="J38" s="25">
        <f t="shared" si="23"/>
        <v>69</v>
      </c>
      <c r="K38" s="25">
        <f t="shared" si="23"/>
        <v>40</v>
      </c>
      <c r="L38" s="25">
        <f t="shared" si="23"/>
        <v>27</v>
      </c>
      <c r="M38" s="25">
        <f t="shared" si="23"/>
        <v>0</v>
      </c>
      <c r="N38" s="26">
        <f t="shared" si="23"/>
        <v>158250</v>
      </c>
      <c r="O38" s="26">
        <f t="shared" si="23"/>
        <v>20641.304347826084</v>
      </c>
      <c r="P38" s="26">
        <f t="shared" si="23"/>
        <v>137608.69565217392</v>
      </c>
      <c r="Q38" s="26"/>
      <c r="R38" s="26">
        <f>SUM(R23:R37)</f>
        <v>49482</v>
      </c>
      <c r="S38" s="26">
        <f>SUM(S23:S37)</f>
        <v>88126.695652173905</v>
      </c>
    </row>
    <row r="41" spans="1:19" ht="15.75" customHeight="1" x14ac:dyDescent="0.2">
      <c r="A41" s="96" t="str">
        <f>IF(Setup!C10="","Event 2: Not configured",UPPER(Setup!C10&amp;" - "&amp;Setup!D10&amp;" | "&amp;TEXT(Setup!B10,"DD MMM YYYY")))</f>
        <v>DURBAN - DURBAN ICC | 04 JUN 2026</v>
      </c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4" t="s">
        <v>93</v>
      </c>
      <c r="O41" s="93"/>
      <c r="P41" s="93"/>
      <c r="Q41" s="92">
        <f>Setup!I10</f>
        <v>156000</v>
      </c>
      <c r="R41" s="93"/>
      <c r="S41" s="93"/>
    </row>
    <row r="42" spans="1:19" ht="15" customHeight="1" x14ac:dyDescent="0.2">
      <c r="A42" s="60" t="s">
        <v>94</v>
      </c>
      <c r="B42" s="61">
        <f>Setup!F10</f>
        <v>5200</v>
      </c>
      <c r="C42" s="62"/>
      <c r="D42" s="60" t="s">
        <v>95</v>
      </c>
      <c r="E42" s="61">
        <f>Setup!G10</f>
        <v>1</v>
      </c>
      <c r="F42" s="62"/>
      <c r="G42" s="60" t="s">
        <v>96</v>
      </c>
      <c r="H42" s="63">
        <f>Setup!H10</f>
        <v>30</v>
      </c>
      <c r="I42" s="62"/>
      <c r="J42" s="60" t="s">
        <v>13</v>
      </c>
      <c r="K42" s="64">
        <f>Setup!B6</f>
        <v>0.15</v>
      </c>
      <c r="L42" s="62"/>
      <c r="M42" s="60" t="s">
        <v>97</v>
      </c>
      <c r="N42" s="63">
        <f>Setup!J10</f>
        <v>0</v>
      </c>
      <c r="O42" s="62"/>
      <c r="P42" s="60" t="s">
        <v>98</v>
      </c>
      <c r="Q42" s="63">
        <f>Setup!L10</f>
        <v>50000</v>
      </c>
      <c r="R42" s="60" t="s">
        <v>99</v>
      </c>
      <c r="S42" s="64">
        <f>Setup!M10</f>
        <v>3.2000000000000001E-2</v>
      </c>
    </row>
    <row r="43" spans="1:19" ht="25.5" customHeight="1" x14ac:dyDescent="0.2">
      <c r="A43" s="28" t="s">
        <v>74</v>
      </c>
      <c r="B43" s="28" t="s">
        <v>49</v>
      </c>
      <c r="C43" s="28" t="s">
        <v>75</v>
      </c>
      <c r="D43" s="28" t="s">
        <v>76</v>
      </c>
      <c r="E43" s="28" t="s">
        <v>77</v>
      </c>
      <c r="F43" s="28" t="s">
        <v>78</v>
      </c>
      <c r="G43" s="28" t="s">
        <v>79</v>
      </c>
      <c r="H43" s="28" t="s">
        <v>80</v>
      </c>
      <c r="I43" s="28" t="s">
        <v>81</v>
      </c>
      <c r="J43" s="28" t="s">
        <v>82</v>
      </c>
      <c r="K43" s="28" t="s">
        <v>83</v>
      </c>
      <c r="L43" s="28" t="s">
        <v>84</v>
      </c>
      <c r="M43" s="28" t="s">
        <v>85</v>
      </c>
      <c r="N43" s="28" t="s">
        <v>86</v>
      </c>
      <c r="O43" s="41" t="s">
        <v>87</v>
      </c>
      <c r="P43" s="42" t="s">
        <v>88</v>
      </c>
      <c r="Q43" s="29" t="s">
        <v>89</v>
      </c>
      <c r="R43" s="29" t="s">
        <v>90</v>
      </c>
      <c r="S43" s="29" t="s">
        <v>91</v>
      </c>
    </row>
    <row r="44" spans="1:19" ht="15" customHeight="1" x14ac:dyDescent="0.2">
      <c r="A44" s="43" t="str">
        <f>IF(Setup!B26="","",Setup!B26)</f>
        <v>Sing Song Black tee</v>
      </c>
      <c r="B44" s="44" t="str">
        <f>IF($A44="","",Setup!C26)</f>
        <v>Apparel</v>
      </c>
      <c r="C44" s="45">
        <f>IF($A44="","",Setup!D26)</f>
        <v>550</v>
      </c>
      <c r="D44" s="46">
        <f>IF($A44="","",Setup!E26)</f>
        <v>0.3</v>
      </c>
      <c r="E44" s="45">
        <f t="shared" ref="E44:E58" si="24">IF(OR($A44="",$Q$41=""),"",$Q$41*D44)</f>
        <v>46800</v>
      </c>
      <c r="F44" s="47">
        <f t="shared" ref="F44:F58" si="25">IF(OR($A44="",C44=0,E44=""),"",ROUNDUP(E44/C44,0))</f>
        <v>86</v>
      </c>
      <c r="G44" s="47">
        <f>IF(OR($A44="",F44=""),"",ROUND(F44*Setup!F26,0))</f>
        <v>0</v>
      </c>
      <c r="H44" s="47">
        <f>IF(OR($A44="",F44=""),"",ROUND(F44*Setup!G26,0))</f>
        <v>13</v>
      </c>
      <c r="I44" s="47">
        <f>IF(OR($A44="",F44=""),"",ROUND(F44*Setup!H26,0))</f>
        <v>22</v>
      </c>
      <c r="J44" s="47">
        <f>IF(OR($A44="",F44=""),"",ROUND(F44*Setup!I26,0))</f>
        <v>26</v>
      </c>
      <c r="K44" s="47">
        <f>IF(OR($A44="",F44=""),"",ROUND(F44*Setup!J26,0))</f>
        <v>15</v>
      </c>
      <c r="L44" s="47">
        <f>IF(OR($A44="",F44=""),"",ROUND(F44*Setup!K26,0))</f>
        <v>10</v>
      </c>
      <c r="M44" s="47">
        <f>IF(OR($A44="",F44=""),"",ROUND(F44*Setup!L26,0))</f>
        <v>0</v>
      </c>
      <c r="N44" s="45">
        <f t="shared" ref="N44:N58" si="26">IF(OR($A44="",F44=""),"",F44*C44)</f>
        <v>47300</v>
      </c>
      <c r="O44" s="48">
        <f>IF(OR($A44="",N44=""),"",N44*Setup!$B$6/(1+Setup!$B$6))</f>
        <v>6169.5652173913049</v>
      </c>
      <c r="P44" s="45">
        <f t="shared" ref="P44:P58" si="27">IF(OR($A44="",N44=""),"",N44-O44)</f>
        <v>41130.434782608696</v>
      </c>
      <c r="Q44" s="49">
        <f>IF($A44="","",Setup!S26)</f>
        <v>169</v>
      </c>
      <c r="R44" s="49">
        <f t="shared" ref="R44:R58" si="28">IF(OR($A44="",F44="",Q44=""),"",F44*Q44)</f>
        <v>14534</v>
      </c>
      <c r="S44" s="50">
        <f t="shared" ref="S44:S58" si="29">IF(OR($A44="",P44="",R44=""),"",P44-R44)</f>
        <v>26596.434782608696</v>
      </c>
    </row>
    <row r="45" spans="1:19" ht="15" customHeight="1" x14ac:dyDescent="0.2">
      <c r="A45" s="51" t="str">
        <f>IF(Setup!B27="","",Setup!B27)</f>
        <v>Kingston Black Tee</v>
      </c>
      <c r="B45" s="52" t="str">
        <f>IF($A45="","",Setup!C27)</f>
        <v>Apparel</v>
      </c>
      <c r="C45" s="53">
        <f>IF($A45="","",Setup!D27)</f>
        <v>550</v>
      </c>
      <c r="D45" s="54">
        <f>IF($A45="","",Setup!E27)</f>
        <v>0.2</v>
      </c>
      <c r="E45" s="53">
        <f t="shared" si="24"/>
        <v>31200</v>
      </c>
      <c r="F45" s="55">
        <f t="shared" si="25"/>
        <v>57</v>
      </c>
      <c r="G45" s="55">
        <f>IF(OR($A45="",F45=""),"",ROUND(F45*Setup!F27,0))</f>
        <v>0</v>
      </c>
      <c r="H45" s="55">
        <f>IF(OR($A45="",F45=""),"",ROUND(F45*Setup!G27,0))</f>
        <v>9</v>
      </c>
      <c r="I45" s="55">
        <f>IF(OR($A45="",F45=""),"",ROUND(F45*Setup!H27,0))</f>
        <v>14</v>
      </c>
      <c r="J45" s="55">
        <f>IF(OR($A45="",F45=""),"",ROUND(F45*Setup!I27,0))</f>
        <v>17</v>
      </c>
      <c r="K45" s="55">
        <f>IF(OR($A45="",F45=""),"",ROUND(F45*Setup!J27,0))</f>
        <v>10</v>
      </c>
      <c r="L45" s="55">
        <f>IF(OR($A45="",F45=""),"",ROUND(F45*Setup!K27,0))</f>
        <v>7</v>
      </c>
      <c r="M45" s="55">
        <f>IF(OR($A45="",F45=""),"",ROUND(F45*Setup!L27,0))</f>
        <v>0</v>
      </c>
      <c r="N45" s="53">
        <f t="shared" si="26"/>
        <v>31350</v>
      </c>
      <c r="O45" s="56">
        <f>IF(OR($A45="",N45=""),"",N45*Setup!$B$6/(1+Setup!$B$6))</f>
        <v>4089.130434782609</v>
      </c>
      <c r="P45" s="53">
        <f t="shared" si="27"/>
        <v>27260.869565217392</v>
      </c>
      <c r="Q45" s="57">
        <f>IF($A45="","",Setup!S27)</f>
        <v>169</v>
      </c>
      <c r="R45" s="57">
        <f t="shared" si="28"/>
        <v>9633</v>
      </c>
      <c r="S45" s="58">
        <f t="shared" si="29"/>
        <v>17627.869565217392</v>
      </c>
    </row>
    <row r="46" spans="1:19" ht="15" customHeight="1" x14ac:dyDescent="0.2">
      <c r="A46" s="43" t="str">
        <f>IF(Setup!B28="","",Setup!B28)</f>
        <v>Red Red Wine White tee</v>
      </c>
      <c r="B46" s="44" t="str">
        <f>IF($A46="","",Setup!C28)</f>
        <v>Apparel</v>
      </c>
      <c r="C46" s="45">
        <f>IF($A46="","",Setup!D28)</f>
        <v>550</v>
      </c>
      <c r="D46" s="46">
        <f>IF($A46="","",Setup!E28)</f>
        <v>0.3</v>
      </c>
      <c r="E46" s="45">
        <f t="shared" si="24"/>
        <v>46800</v>
      </c>
      <c r="F46" s="47">
        <f t="shared" si="25"/>
        <v>86</v>
      </c>
      <c r="G46" s="47">
        <f>IF(OR($A46="",F46=""),"",ROUND(F46*Setup!F28,0))</f>
        <v>0</v>
      </c>
      <c r="H46" s="47">
        <f>IF(OR($A46="",F46=""),"",ROUND(F46*Setup!G28,0))</f>
        <v>13</v>
      </c>
      <c r="I46" s="47">
        <f>IF(OR($A46="",F46=""),"",ROUND(F46*Setup!H28,0))</f>
        <v>22</v>
      </c>
      <c r="J46" s="47">
        <f>IF(OR($A46="",F46=""),"",ROUND(F46*Setup!I28,0))</f>
        <v>26</v>
      </c>
      <c r="K46" s="47">
        <f>IF(OR($A46="",F46=""),"",ROUND(F46*Setup!J28,0))</f>
        <v>15</v>
      </c>
      <c r="L46" s="47">
        <f>IF(OR($A46="",F46=""),"",ROUND(F46*Setup!K28,0))</f>
        <v>10</v>
      </c>
      <c r="M46" s="47">
        <f>IF(OR($A46="",F46=""),"",ROUND(F46*Setup!L28,0))</f>
        <v>0</v>
      </c>
      <c r="N46" s="45">
        <f t="shared" si="26"/>
        <v>47300</v>
      </c>
      <c r="O46" s="48">
        <f>IF(OR($A46="",N46=""),"",N46*Setup!$B$6/(1+Setup!$B$6))</f>
        <v>6169.5652173913049</v>
      </c>
      <c r="P46" s="45">
        <f t="shared" si="27"/>
        <v>41130.434782608696</v>
      </c>
      <c r="Q46" s="49">
        <f>IF($A46="","",Setup!S28)</f>
        <v>162</v>
      </c>
      <c r="R46" s="49">
        <f t="shared" si="28"/>
        <v>13932</v>
      </c>
      <c r="S46" s="50">
        <f t="shared" si="29"/>
        <v>27198.434782608696</v>
      </c>
    </row>
    <row r="47" spans="1:19" ht="15" customHeight="1" x14ac:dyDescent="0.2">
      <c r="A47" s="51" t="str">
        <f>IF(Setup!B29="","",Setup!B29)</f>
        <v>Cap</v>
      </c>
      <c r="B47" s="52" t="str">
        <f>IF($A47="","",Setup!C29)</f>
        <v>Accessory</v>
      </c>
      <c r="C47" s="53">
        <f>IF($A47="","",Setup!D29)</f>
        <v>350</v>
      </c>
      <c r="D47" s="54">
        <f>IF($A47="","",Setup!E29)</f>
        <v>0.13</v>
      </c>
      <c r="E47" s="53">
        <f t="shared" si="24"/>
        <v>20280</v>
      </c>
      <c r="F47" s="55">
        <f t="shared" si="25"/>
        <v>58</v>
      </c>
      <c r="G47" s="55">
        <f>IF(OR($A47="",F47=""),"",ROUND(F47*Setup!F29,0))</f>
        <v>0</v>
      </c>
      <c r="H47" s="55">
        <f>IF(OR($A47="",F47=""),"",ROUND(F47*Setup!G29,0))</f>
        <v>0</v>
      </c>
      <c r="I47" s="55">
        <f>IF(OR($A47="",F47=""),"",ROUND(F47*Setup!H29,0))</f>
        <v>0</v>
      </c>
      <c r="J47" s="55">
        <f>IF(OR($A47="",F47=""),"",ROUND(F47*Setup!I29,0))</f>
        <v>0</v>
      </c>
      <c r="K47" s="55">
        <f>IF(OR($A47="",F47=""),"",ROUND(F47*Setup!J29,0))</f>
        <v>0</v>
      </c>
      <c r="L47" s="55">
        <f>IF(OR($A47="",F47=""),"",ROUND(F47*Setup!K29,0))</f>
        <v>0</v>
      </c>
      <c r="M47" s="55">
        <f>IF(OR($A47="",F47=""),"",ROUND(F47*Setup!L29,0))</f>
        <v>0</v>
      </c>
      <c r="N47" s="53">
        <f t="shared" si="26"/>
        <v>20300</v>
      </c>
      <c r="O47" s="56">
        <f>IF(OR($A47="",N47=""),"",N47*Setup!$B$6/(1+Setup!$B$6))</f>
        <v>2647.826086956522</v>
      </c>
      <c r="P47" s="53">
        <f t="shared" si="27"/>
        <v>17652.17391304348</v>
      </c>
      <c r="Q47" s="57">
        <f>IF($A47="","",Setup!S29)</f>
        <v>96</v>
      </c>
      <c r="R47" s="57">
        <f t="shared" si="28"/>
        <v>5568</v>
      </c>
      <c r="S47" s="58">
        <f t="shared" si="29"/>
        <v>12084.17391304348</v>
      </c>
    </row>
    <row r="48" spans="1:19" ht="15" customHeight="1" x14ac:dyDescent="0.2">
      <c r="A48" s="43" t="str">
        <f>IF(Setup!B30="","",Setup!B30)</f>
        <v>Tote</v>
      </c>
      <c r="B48" s="44" t="str">
        <f>IF($A48="","",Setup!C30)</f>
        <v>Accessory</v>
      </c>
      <c r="C48" s="45">
        <f>IF($A48="","",Setup!D30)</f>
        <v>100</v>
      </c>
      <c r="D48" s="46">
        <f>IF($A48="","",Setup!E30)</f>
        <v>7.0000000000000007E-2</v>
      </c>
      <c r="E48" s="45">
        <f t="shared" si="24"/>
        <v>10920.000000000002</v>
      </c>
      <c r="F48" s="47">
        <f t="shared" si="25"/>
        <v>110</v>
      </c>
      <c r="G48" s="47">
        <f>IF(OR($A48="",F48=""),"",ROUND(F48*Setup!F30,0))</f>
        <v>0</v>
      </c>
      <c r="H48" s="47">
        <f>IF(OR($A48="",F48=""),"",ROUND(F48*Setup!G30,0))</f>
        <v>0</v>
      </c>
      <c r="I48" s="47">
        <f>IF(OR($A48="",F48=""),"",ROUND(F48*Setup!H30,0))</f>
        <v>0</v>
      </c>
      <c r="J48" s="47">
        <f>IF(OR($A48="",F48=""),"",ROUND(F48*Setup!I30,0))</f>
        <v>0</v>
      </c>
      <c r="K48" s="47">
        <f>IF(OR($A48="",F48=""),"",ROUND(F48*Setup!J30,0))</f>
        <v>0</v>
      </c>
      <c r="L48" s="47">
        <f>IF(OR($A48="",F48=""),"",ROUND(F48*Setup!K30,0))</f>
        <v>0</v>
      </c>
      <c r="M48" s="47">
        <f>IF(OR($A48="",F48=""),"",ROUND(F48*Setup!L30,0))</f>
        <v>0</v>
      </c>
      <c r="N48" s="45">
        <f t="shared" si="26"/>
        <v>11000</v>
      </c>
      <c r="O48" s="48">
        <f>IF(OR($A48="",N48=""),"",N48*Setup!$B$6/(1+Setup!$B$6))</f>
        <v>1434.7826086956522</v>
      </c>
      <c r="P48" s="45">
        <f t="shared" si="27"/>
        <v>9565.217391304348</v>
      </c>
      <c r="Q48" s="49">
        <f>IF($A48="","",Setup!S30)</f>
        <v>50</v>
      </c>
      <c r="R48" s="49">
        <f t="shared" si="28"/>
        <v>5500</v>
      </c>
      <c r="S48" s="50">
        <f t="shared" si="29"/>
        <v>4065.217391304348</v>
      </c>
    </row>
    <row r="49" spans="1:19" ht="15" customHeight="1" x14ac:dyDescent="0.2">
      <c r="A49" s="51" t="str">
        <f>IF(Setup!B31="","",Setup!B31)</f>
        <v/>
      </c>
      <c r="B49" s="52" t="str">
        <f>IF($A49="","",Setup!C31)</f>
        <v/>
      </c>
      <c r="C49" s="53" t="str">
        <f>IF($A49="","",Setup!D31)</f>
        <v/>
      </c>
      <c r="D49" s="54" t="str">
        <f>IF($A49="","",Setup!E31)</f>
        <v/>
      </c>
      <c r="E49" s="53" t="str">
        <f t="shared" si="24"/>
        <v/>
      </c>
      <c r="F49" s="55" t="str">
        <f t="shared" si="25"/>
        <v/>
      </c>
      <c r="G49" s="55" t="str">
        <f>IF(OR($A49="",F49=""),"",ROUND(F49*Setup!F31,0))</f>
        <v/>
      </c>
      <c r="H49" s="55" t="str">
        <f>IF(OR($A49="",F49=""),"",ROUND(F49*Setup!G31,0))</f>
        <v/>
      </c>
      <c r="I49" s="55" t="str">
        <f>IF(OR($A49="",F49=""),"",ROUND(F49*Setup!H31,0))</f>
        <v/>
      </c>
      <c r="J49" s="55" t="str">
        <f>IF(OR($A49="",F49=""),"",ROUND(F49*Setup!I31,0))</f>
        <v/>
      </c>
      <c r="K49" s="55" t="str">
        <f>IF(OR($A49="",F49=""),"",ROUND(F49*Setup!J31,0))</f>
        <v/>
      </c>
      <c r="L49" s="55" t="str">
        <f>IF(OR($A49="",F49=""),"",ROUND(F49*Setup!K31,0))</f>
        <v/>
      </c>
      <c r="M49" s="55" t="str">
        <f>IF(OR($A49="",F49=""),"",ROUND(F49*Setup!L31,0))</f>
        <v/>
      </c>
      <c r="N49" s="53" t="str">
        <f t="shared" si="26"/>
        <v/>
      </c>
      <c r="O49" s="56" t="str">
        <f>IF(OR($A49="",N49=""),"",N49*Setup!$B$6/(1+Setup!$B$6))</f>
        <v/>
      </c>
      <c r="P49" s="53" t="str">
        <f t="shared" si="27"/>
        <v/>
      </c>
      <c r="Q49" s="57" t="str">
        <f>IF($A49="","",Setup!S31)</f>
        <v/>
      </c>
      <c r="R49" s="57" t="str">
        <f t="shared" si="28"/>
        <v/>
      </c>
      <c r="S49" s="58" t="str">
        <f t="shared" si="29"/>
        <v/>
      </c>
    </row>
    <row r="50" spans="1:19" ht="15" hidden="1" customHeight="1" x14ac:dyDescent="0.2">
      <c r="A50" s="43" t="str">
        <f>IF(Setup!B32="","",Setup!B32)</f>
        <v/>
      </c>
      <c r="B50" s="44" t="str">
        <f>IF($A50="","",Setup!C32)</f>
        <v/>
      </c>
      <c r="C50" s="45" t="str">
        <f>IF($A50="","",Setup!D32)</f>
        <v/>
      </c>
      <c r="D50" s="46" t="str">
        <f>IF($A50="","",Setup!E32)</f>
        <v/>
      </c>
      <c r="E50" s="45" t="str">
        <f t="shared" si="24"/>
        <v/>
      </c>
      <c r="F50" s="47" t="str">
        <f t="shared" si="25"/>
        <v/>
      </c>
      <c r="G50" s="47" t="str">
        <f>IF(OR($A50="",F50=""),"",ROUND(F50*Setup!F32,0))</f>
        <v/>
      </c>
      <c r="H50" s="47" t="str">
        <f>IF(OR($A50="",F50=""),"",ROUND(F50*Setup!G32,0))</f>
        <v/>
      </c>
      <c r="I50" s="47" t="str">
        <f>IF(OR($A50="",F50=""),"",ROUND(F50*Setup!H32,0))</f>
        <v/>
      </c>
      <c r="J50" s="47" t="str">
        <f>IF(OR($A50="",F50=""),"",ROUND(F50*Setup!I32,0))</f>
        <v/>
      </c>
      <c r="K50" s="47" t="str">
        <f>IF(OR($A50="",F50=""),"",ROUND(F50*Setup!J32,0))</f>
        <v/>
      </c>
      <c r="L50" s="47" t="str">
        <f>IF(OR($A50="",F50=""),"",ROUND(F50*Setup!K32,0))</f>
        <v/>
      </c>
      <c r="M50" s="47" t="str">
        <f>IF(OR($A50="",F50=""),"",ROUND(F50*Setup!L32,0))</f>
        <v/>
      </c>
      <c r="N50" s="45" t="str">
        <f t="shared" si="26"/>
        <v/>
      </c>
      <c r="O50" s="48" t="str">
        <f>IF(OR($A50="",N50=""),"",N50*Setup!$B$6/(1+Setup!$B$6))</f>
        <v/>
      </c>
      <c r="P50" s="45" t="str">
        <f t="shared" si="27"/>
        <v/>
      </c>
      <c r="Q50" s="49" t="str">
        <f>IF($A50="","",Setup!S32)</f>
        <v/>
      </c>
      <c r="R50" s="49" t="str">
        <f t="shared" si="28"/>
        <v/>
      </c>
      <c r="S50" s="50" t="str">
        <f t="shared" si="29"/>
        <v/>
      </c>
    </row>
    <row r="51" spans="1:19" ht="15" hidden="1" customHeight="1" x14ac:dyDescent="0.2">
      <c r="A51" s="51" t="str">
        <f>IF(Setup!B33="","",Setup!B33)</f>
        <v/>
      </c>
      <c r="B51" s="52" t="str">
        <f>IF($A51="","",Setup!C33)</f>
        <v/>
      </c>
      <c r="C51" s="53" t="str">
        <f>IF($A51="","",Setup!D33)</f>
        <v/>
      </c>
      <c r="D51" s="54" t="str">
        <f>IF($A51="","",Setup!E33)</f>
        <v/>
      </c>
      <c r="E51" s="53" t="str">
        <f t="shared" si="24"/>
        <v/>
      </c>
      <c r="F51" s="55" t="str">
        <f t="shared" si="25"/>
        <v/>
      </c>
      <c r="G51" s="55" t="str">
        <f>IF(OR($A51="",F51=""),"",ROUND(F51*Setup!F33,0))</f>
        <v/>
      </c>
      <c r="H51" s="55" t="str">
        <f>IF(OR($A51="",F51=""),"",ROUND(F51*Setup!G33,0))</f>
        <v/>
      </c>
      <c r="I51" s="55" t="str">
        <f>IF(OR($A51="",F51=""),"",ROUND(F51*Setup!H33,0))</f>
        <v/>
      </c>
      <c r="J51" s="55" t="str">
        <f>IF(OR($A51="",F51=""),"",ROUND(F51*Setup!I33,0))</f>
        <v/>
      </c>
      <c r="K51" s="55" t="str">
        <f>IF(OR($A51="",F51=""),"",ROUND(F51*Setup!J33,0))</f>
        <v/>
      </c>
      <c r="L51" s="55" t="str">
        <f>IF(OR($A51="",F51=""),"",ROUND(F51*Setup!K33,0))</f>
        <v/>
      </c>
      <c r="M51" s="55" t="str">
        <f>IF(OR($A51="",F51=""),"",ROUND(F51*Setup!L33,0))</f>
        <v/>
      </c>
      <c r="N51" s="53" t="str">
        <f t="shared" si="26"/>
        <v/>
      </c>
      <c r="O51" s="56" t="str">
        <f>IF(OR($A51="",N51=""),"",N51*Setup!$B$6/(1+Setup!$B$6))</f>
        <v/>
      </c>
      <c r="P51" s="53" t="str">
        <f t="shared" si="27"/>
        <v/>
      </c>
      <c r="Q51" s="57" t="str">
        <f>IF($A51="","",Setup!S33)</f>
        <v/>
      </c>
      <c r="R51" s="57" t="str">
        <f t="shared" si="28"/>
        <v/>
      </c>
      <c r="S51" s="58" t="str">
        <f t="shared" si="29"/>
        <v/>
      </c>
    </row>
    <row r="52" spans="1:19" ht="15" hidden="1" customHeight="1" x14ac:dyDescent="0.2">
      <c r="A52" s="43" t="str">
        <f>IF(Setup!B34="","",Setup!B34)</f>
        <v/>
      </c>
      <c r="B52" s="44" t="str">
        <f>IF($A52="","",Setup!C34)</f>
        <v/>
      </c>
      <c r="C52" s="45" t="str">
        <f>IF($A52="","",Setup!D34)</f>
        <v/>
      </c>
      <c r="D52" s="46" t="str">
        <f>IF($A52="","",Setup!E34)</f>
        <v/>
      </c>
      <c r="E52" s="45" t="str">
        <f t="shared" si="24"/>
        <v/>
      </c>
      <c r="F52" s="47" t="str">
        <f t="shared" si="25"/>
        <v/>
      </c>
      <c r="G52" s="47" t="str">
        <f>IF(OR($A52="",F52=""),"",ROUND(F52*Setup!F34,0))</f>
        <v/>
      </c>
      <c r="H52" s="47" t="str">
        <f>IF(OR($A52="",F52=""),"",ROUND(F52*Setup!G34,0))</f>
        <v/>
      </c>
      <c r="I52" s="47" t="str">
        <f>IF(OR($A52="",F52=""),"",ROUND(F52*Setup!H34,0))</f>
        <v/>
      </c>
      <c r="J52" s="47" t="str">
        <f>IF(OR($A52="",F52=""),"",ROUND(F52*Setup!I34,0))</f>
        <v/>
      </c>
      <c r="K52" s="47" t="str">
        <f>IF(OR($A52="",F52=""),"",ROUND(F52*Setup!J34,0))</f>
        <v/>
      </c>
      <c r="L52" s="47" t="str">
        <f>IF(OR($A52="",F52=""),"",ROUND(F52*Setup!K34,0))</f>
        <v/>
      </c>
      <c r="M52" s="47" t="str">
        <f>IF(OR($A52="",F52=""),"",ROUND(F52*Setup!L34,0))</f>
        <v/>
      </c>
      <c r="N52" s="45" t="str">
        <f t="shared" si="26"/>
        <v/>
      </c>
      <c r="O52" s="48" t="str">
        <f>IF(OR($A52="",N52=""),"",N52*Setup!$B$6/(1+Setup!$B$6))</f>
        <v/>
      </c>
      <c r="P52" s="45" t="str">
        <f t="shared" si="27"/>
        <v/>
      </c>
      <c r="Q52" s="49" t="str">
        <f>IF($A52="","",Setup!S34)</f>
        <v/>
      </c>
      <c r="R52" s="49" t="str">
        <f t="shared" si="28"/>
        <v/>
      </c>
      <c r="S52" s="50" t="str">
        <f t="shared" si="29"/>
        <v/>
      </c>
    </row>
    <row r="53" spans="1:19" ht="15" hidden="1" customHeight="1" x14ac:dyDescent="0.2">
      <c r="A53" s="51" t="str">
        <f>IF(Setup!B35="","",Setup!B35)</f>
        <v/>
      </c>
      <c r="B53" s="52" t="str">
        <f>IF($A53="","",Setup!C35)</f>
        <v/>
      </c>
      <c r="C53" s="53" t="str">
        <f>IF($A53="","",Setup!D35)</f>
        <v/>
      </c>
      <c r="D53" s="54" t="str">
        <f>IF($A53="","",Setup!E35)</f>
        <v/>
      </c>
      <c r="E53" s="53" t="str">
        <f t="shared" si="24"/>
        <v/>
      </c>
      <c r="F53" s="55" t="str">
        <f t="shared" si="25"/>
        <v/>
      </c>
      <c r="G53" s="55" t="str">
        <f>IF(OR($A53="",F53=""),"",ROUND(F53*Setup!F35,0))</f>
        <v/>
      </c>
      <c r="H53" s="55" t="str">
        <f>IF(OR($A53="",F53=""),"",ROUND(F53*Setup!G35,0))</f>
        <v/>
      </c>
      <c r="I53" s="55" t="str">
        <f>IF(OR($A53="",F53=""),"",ROUND(F53*Setup!H35,0))</f>
        <v/>
      </c>
      <c r="J53" s="55" t="str">
        <f>IF(OR($A53="",F53=""),"",ROUND(F53*Setup!I35,0))</f>
        <v/>
      </c>
      <c r="K53" s="55" t="str">
        <f>IF(OR($A53="",F53=""),"",ROUND(F53*Setup!J35,0))</f>
        <v/>
      </c>
      <c r="L53" s="55" t="str">
        <f>IF(OR($A53="",F53=""),"",ROUND(F53*Setup!K35,0))</f>
        <v/>
      </c>
      <c r="M53" s="55" t="str">
        <f>IF(OR($A53="",F53=""),"",ROUND(F53*Setup!L35,0))</f>
        <v/>
      </c>
      <c r="N53" s="53" t="str">
        <f t="shared" si="26"/>
        <v/>
      </c>
      <c r="O53" s="56" t="str">
        <f>IF(OR($A53="",N53=""),"",N53*Setup!$B$6/(1+Setup!$B$6))</f>
        <v/>
      </c>
      <c r="P53" s="53" t="str">
        <f t="shared" si="27"/>
        <v/>
      </c>
      <c r="Q53" s="57" t="str">
        <f>IF($A53="","",Setup!S35)</f>
        <v/>
      </c>
      <c r="R53" s="57" t="str">
        <f t="shared" si="28"/>
        <v/>
      </c>
      <c r="S53" s="58" t="str">
        <f t="shared" si="29"/>
        <v/>
      </c>
    </row>
    <row r="54" spans="1:19" ht="15" hidden="1" customHeight="1" x14ac:dyDescent="0.2">
      <c r="A54" s="43" t="str">
        <f>IF(Setup!B36="","",Setup!B36)</f>
        <v/>
      </c>
      <c r="B54" s="44" t="str">
        <f>IF($A54="","",Setup!C36)</f>
        <v/>
      </c>
      <c r="C54" s="45" t="str">
        <f>IF($A54="","",Setup!D36)</f>
        <v/>
      </c>
      <c r="D54" s="46" t="str">
        <f>IF($A54="","",Setup!E36)</f>
        <v/>
      </c>
      <c r="E54" s="45" t="str">
        <f t="shared" si="24"/>
        <v/>
      </c>
      <c r="F54" s="47" t="str">
        <f t="shared" si="25"/>
        <v/>
      </c>
      <c r="G54" s="47" t="str">
        <f>IF(OR($A54="",F54=""),"",ROUND(F54*Setup!F36,0))</f>
        <v/>
      </c>
      <c r="H54" s="47" t="str">
        <f>IF(OR($A54="",F54=""),"",ROUND(F54*Setup!G36,0))</f>
        <v/>
      </c>
      <c r="I54" s="47" t="str">
        <f>IF(OR($A54="",F54=""),"",ROUND(F54*Setup!H36,0))</f>
        <v/>
      </c>
      <c r="J54" s="47" t="str">
        <f>IF(OR($A54="",F54=""),"",ROUND(F54*Setup!I36,0))</f>
        <v/>
      </c>
      <c r="K54" s="47" t="str">
        <f>IF(OR($A54="",F54=""),"",ROUND(F54*Setup!J36,0))</f>
        <v/>
      </c>
      <c r="L54" s="47" t="str">
        <f>IF(OR($A54="",F54=""),"",ROUND(F54*Setup!K36,0))</f>
        <v/>
      </c>
      <c r="M54" s="47" t="str">
        <f>IF(OR($A54="",F54=""),"",ROUND(F54*Setup!L36,0))</f>
        <v/>
      </c>
      <c r="N54" s="45" t="str">
        <f t="shared" si="26"/>
        <v/>
      </c>
      <c r="O54" s="48" t="str">
        <f>IF(OR($A54="",N54=""),"",N54*Setup!$B$6/(1+Setup!$B$6))</f>
        <v/>
      </c>
      <c r="P54" s="45" t="str">
        <f t="shared" si="27"/>
        <v/>
      </c>
      <c r="Q54" s="49" t="str">
        <f>IF($A54="","",Setup!S36)</f>
        <v/>
      </c>
      <c r="R54" s="49" t="str">
        <f t="shared" si="28"/>
        <v/>
      </c>
      <c r="S54" s="50" t="str">
        <f t="shared" si="29"/>
        <v/>
      </c>
    </row>
    <row r="55" spans="1:19" ht="15" hidden="1" customHeight="1" x14ac:dyDescent="0.2">
      <c r="A55" s="51" t="str">
        <f>IF(Setup!B37="","",Setup!B37)</f>
        <v/>
      </c>
      <c r="B55" s="52" t="str">
        <f>IF($A55="","",Setup!C37)</f>
        <v/>
      </c>
      <c r="C55" s="53" t="str">
        <f>IF($A55="","",Setup!D37)</f>
        <v/>
      </c>
      <c r="D55" s="54" t="str">
        <f>IF($A55="","",Setup!E37)</f>
        <v/>
      </c>
      <c r="E55" s="53" t="str">
        <f t="shared" si="24"/>
        <v/>
      </c>
      <c r="F55" s="55" t="str">
        <f t="shared" si="25"/>
        <v/>
      </c>
      <c r="G55" s="55" t="str">
        <f>IF(OR($A55="",F55=""),"",ROUND(F55*Setup!F37,0))</f>
        <v/>
      </c>
      <c r="H55" s="55" t="str">
        <f>IF(OR($A55="",F55=""),"",ROUND(F55*Setup!G37,0))</f>
        <v/>
      </c>
      <c r="I55" s="55" t="str">
        <f>IF(OR($A55="",F55=""),"",ROUND(F55*Setup!H37,0))</f>
        <v/>
      </c>
      <c r="J55" s="55" t="str">
        <f>IF(OR($A55="",F55=""),"",ROUND(F55*Setup!I37,0))</f>
        <v/>
      </c>
      <c r="K55" s="55" t="str">
        <f>IF(OR($A55="",F55=""),"",ROUND(F55*Setup!J37,0))</f>
        <v/>
      </c>
      <c r="L55" s="55" t="str">
        <f>IF(OR($A55="",F55=""),"",ROUND(F55*Setup!K37,0))</f>
        <v/>
      </c>
      <c r="M55" s="55" t="str">
        <f>IF(OR($A55="",F55=""),"",ROUND(F55*Setup!L37,0))</f>
        <v/>
      </c>
      <c r="N55" s="53" t="str">
        <f t="shared" si="26"/>
        <v/>
      </c>
      <c r="O55" s="56" t="str">
        <f>IF(OR($A55="",N55=""),"",N55*Setup!$B$6/(1+Setup!$B$6))</f>
        <v/>
      </c>
      <c r="P55" s="53" t="str">
        <f t="shared" si="27"/>
        <v/>
      </c>
      <c r="Q55" s="57" t="str">
        <f>IF($A55="","",Setup!S37)</f>
        <v/>
      </c>
      <c r="R55" s="57" t="str">
        <f t="shared" si="28"/>
        <v/>
      </c>
      <c r="S55" s="58" t="str">
        <f t="shared" si="29"/>
        <v/>
      </c>
    </row>
    <row r="56" spans="1:19" ht="15" hidden="1" customHeight="1" x14ac:dyDescent="0.2">
      <c r="A56" s="43" t="str">
        <f>IF(Setup!B38="","",Setup!B38)</f>
        <v/>
      </c>
      <c r="B56" s="44" t="str">
        <f>IF($A56="","",Setup!C38)</f>
        <v/>
      </c>
      <c r="C56" s="45" t="str">
        <f>IF($A56="","",Setup!D38)</f>
        <v/>
      </c>
      <c r="D56" s="46" t="str">
        <f>IF($A56="","",Setup!E38)</f>
        <v/>
      </c>
      <c r="E56" s="45" t="str">
        <f t="shared" si="24"/>
        <v/>
      </c>
      <c r="F56" s="47" t="str">
        <f t="shared" si="25"/>
        <v/>
      </c>
      <c r="G56" s="47" t="str">
        <f>IF(OR($A56="",F56=""),"",ROUND(F56*Setup!F38,0))</f>
        <v/>
      </c>
      <c r="H56" s="47" t="str">
        <f>IF(OR($A56="",F56=""),"",ROUND(F56*Setup!G38,0))</f>
        <v/>
      </c>
      <c r="I56" s="47" t="str">
        <f>IF(OR($A56="",F56=""),"",ROUND(F56*Setup!H38,0))</f>
        <v/>
      </c>
      <c r="J56" s="47" t="str">
        <f>IF(OR($A56="",F56=""),"",ROUND(F56*Setup!I38,0))</f>
        <v/>
      </c>
      <c r="K56" s="47" t="str">
        <f>IF(OR($A56="",F56=""),"",ROUND(F56*Setup!J38,0))</f>
        <v/>
      </c>
      <c r="L56" s="47" t="str">
        <f>IF(OR($A56="",F56=""),"",ROUND(F56*Setup!K38,0))</f>
        <v/>
      </c>
      <c r="M56" s="47" t="str">
        <f>IF(OR($A56="",F56=""),"",ROUND(F56*Setup!L38,0))</f>
        <v/>
      </c>
      <c r="N56" s="45" t="str">
        <f t="shared" si="26"/>
        <v/>
      </c>
      <c r="O56" s="48" t="str">
        <f>IF(OR($A56="",N56=""),"",N56*Setup!$B$6/(1+Setup!$B$6))</f>
        <v/>
      </c>
      <c r="P56" s="45" t="str">
        <f t="shared" si="27"/>
        <v/>
      </c>
      <c r="Q56" s="49" t="str">
        <f>IF($A56="","",Setup!S38)</f>
        <v/>
      </c>
      <c r="R56" s="49" t="str">
        <f t="shared" si="28"/>
        <v/>
      </c>
      <c r="S56" s="50" t="str">
        <f t="shared" si="29"/>
        <v/>
      </c>
    </row>
    <row r="57" spans="1:19" ht="15" hidden="1" customHeight="1" x14ac:dyDescent="0.2">
      <c r="A57" s="51" t="str">
        <f>IF(Setup!B39="","",Setup!B39)</f>
        <v/>
      </c>
      <c r="B57" s="52" t="str">
        <f>IF($A57="","",Setup!C39)</f>
        <v/>
      </c>
      <c r="C57" s="53" t="str">
        <f>IF($A57="","",Setup!D39)</f>
        <v/>
      </c>
      <c r="D57" s="54" t="str">
        <f>IF($A57="","",Setup!E39)</f>
        <v/>
      </c>
      <c r="E57" s="53" t="str">
        <f t="shared" si="24"/>
        <v/>
      </c>
      <c r="F57" s="55" t="str">
        <f t="shared" si="25"/>
        <v/>
      </c>
      <c r="G57" s="55" t="str">
        <f>IF(OR($A57="",F57=""),"",ROUND(F57*Setup!F39,0))</f>
        <v/>
      </c>
      <c r="H57" s="55" t="str">
        <f>IF(OR($A57="",F57=""),"",ROUND(F57*Setup!G39,0))</f>
        <v/>
      </c>
      <c r="I57" s="55" t="str">
        <f>IF(OR($A57="",F57=""),"",ROUND(F57*Setup!H39,0))</f>
        <v/>
      </c>
      <c r="J57" s="55" t="str">
        <f>IF(OR($A57="",F57=""),"",ROUND(F57*Setup!I39,0))</f>
        <v/>
      </c>
      <c r="K57" s="55" t="str">
        <f>IF(OR($A57="",F57=""),"",ROUND(F57*Setup!J39,0))</f>
        <v/>
      </c>
      <c r="L57" s="55" t="str">
        <f>IF(OR($A57="",F57=""),"",ROUND(F57*Setup!K39,0))</f>
        <v/>
      </c>
      <c r="M57" s="55" t="str">
        <f>IF(OR($A57="",F57=""),"",ROUND(F57*Setup!L39,0))</f>
        <v/>
      </c>
      <c r="N57" s="53" t="str">
        <f t="shared" si="26"/>
        <v/>
      </c>
      <c r="O57" s="56" t="str">
        <f>IF(OR($A57="",N57=""),"",N57*Setup!$B$6/(1+Setup!$B$6))</f>
        <v/>
      </c>
      <c r="P57" s="53" t="str">
        <f t="shared" si="27"/>
        <v/>
      </c>
      <c r="Q57" s="57" t="str">
        <f>IF($A57="","",Setup!S39)</f>
        <v/>
      </c>
      <c r="R57" s="57" t="str">
        <f t="shared" si="28"/>
        <v/>
      </c>
      <c r="S57" s="58" t="str">
        <f t="shared" si="29"/>
        <v/>
      </c>
    </row>
    <row r="58" spans="1:19" ht="15" hidden="1" customHeight="1" x14ac:dyDescent="0.2">
      <c r="A58" s="43" t="str">
        <f>IF(Setup!B40="","",Setup!B40)</f>
        <v/>
      </c>
      <c r="B58" s="44" t="str">
        <f>IF($A58="","",Setup!C40)</f>
        <v/>
      </c>
      <c r="C58" s="45" t="str">
        <f>IF($A58="","",Setup!D40)</f>
        <v/>
      </c>
      <c r="D58" s="46" t="str">
        <f>IF($A58="","",Setup!E40)</f>
        <v/>
      </c>
      <c r="E58" s="45" t="str">
        <f t="shared" si="24"/>
        <v/>
      </c>
      <c r="F58" s="47" t="str">
        <f t="shared" si="25"/>
        <v/>
      </c>
      <c r="G58" s="47" t="str">
        <f>IF(OR($A58="",F58=""),"",ROUND(F58*Setup!F40,0))</f>
        <v/>
      </c>
      <c r="H58" s="47" t="str">
        <f>IF(OR($A58="",F58=""),"",ROUND(F58*Setup!G40,0))</f>
        <v/>
      </c>
      <c r="I58" s="47" t="str">
        <f>IF(OR($A58="",F58=""),"",ROUND(F58*Setup!H40,0))</f>
        <v/>
      </c>
      <c r="J58" s="47" t="str">
        <f>IF(OR($A58="",F58=""),"",ROUND(F58*Setup!I40,0))</f>
        <v/>
      </c>
      <c r="K58" s="47" t="str">
        <f>IF(OR($A58="",F58=""),"",ROUND(F58*Setup!J40,0))</f>
        <v/>
      </c>
      <c r="L58" s="47" t="str">
        <f>IF(OR($A58="",F58=""),"",ROUND(F58*Setup!K40,0))</f>
        <v/>
      </c>
      <c r="M58" s="47" t="str">
        <f>IF(OR($A58="",F58=""),"",ROUND(F58*Setup!L40,0))</f>
        <v/>
      </c>
      <c r="N58" s="45" t="str">
        <f t="shared" si="26"/>
        <v/>
      </c>
      <c r="O58" s="48" t="str">
        <f>IF(OR($A58="",N58=""),"",N58*Setup!$B$6/(1+Setup!$B$6))</f>
        <v/>
      </c>
      <c r="P58" s="45" t="str">
        <f t="shared" si="27"/>
        <v/>
      </c>
      <c r="Q58" s="49" t="str">
        <f>IF($A58="","",Setup!S40)</f>
        <v/>
      </c>
      <c r="R58" s="49" t="str">
        <f t="shared" si="28"/>
        <v/>
      </c>
      <c r="S58" s="50" t="str">
        <f t="shared" si="29"/>
        <v/>
      </c>
    </row>
    <row r="59" spans="1:19" ht="15" customHeight="1" x14ac:dyDescent="0.2">
      <c r="A59" s="59" t="s">
        <v>100</v>
      </c>
      <c r="B59" s="26"/>
      <c r="C59" s="26"/>
      <c r="D59" s="26"/>
      <c r="E59" s="26">
        <f t="shared" ref="E59:P59" si="30">SUM(E44:E58)</f>
        <v>156000</v>
      </c>
      <c r="F59" s="25">
        <f t="shared" si="30"/>
        <v>397</v>
      </c>
      <c r="G59" s="25">
        <f t="shared" si="30"/>
        <v>0</v>
      </c>
      <c r="H59" s="25">
        <f t="shared" si="30"/>
        <v>35</v>
      </c>
      <c r="I59" s="25">
        <f t="shared" si="30"/>
        <v>58</v>
      </c>
      <c r="J59" s="25">
        <f t="shared" si="30"/>
        <v>69</v>
      </c>
      <c r="K59" s="25">
        <f t="shared" si="30"/>
        <v>40</v>
      </c>
      <c r="L59" s="25">
        <f t="shared" si="30"/>
        <v>27</v>
      </c>
      <c r="M59" s="25">
        <f t="shared" si="30"/>
        <v>0</v>
      </c>
      <c r="N59" s="26">
        <f t="shared" si="30"/>
        <v>157250</v>
      </c>
      <c r="O59" s="26">
        <f t="shared" si="30"/>
        <v>20510.869565217396</v>
      </c>
      <c r="P59" s="26">
        <f t="shared" si="30"/>
        <v>136739.13043478262</v>
      </c>
      <c r="Q59" s="26"/>
      <c r="R59" s="26">
        <f>SUM(R44:R58)</f>
        <v>49167</v>
      </c>
      <c r="S59" s="26">
        <f>SUM(S44:S58)</f>
        <v>87572.130434782623</v>
      </c>
    </row>
    <row r="62" spans="1:19" ht="15.75" customHeight="1" x14ac:dyDescent="0.2">
      <c r="A62" s="96" t="str">
        <f>IF(Setup!C11="","Event 3: Not configured",UPPER(Setup!C11&amp;" - "&amp;Setup!D11&amp;" | "&amp;TEXT(Setup!B11,"DD MMM YYYY")))</f>
        <v>PRETORIA - SUNBET ARENA TIME SQUARE | 06 JUN 2026</v>
      </c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4" t="s">
        <v>93</v>
      </c>
      <c r="O62" s="93"/>
      <c r="P62" s="93"/>
      <c r="Q62" s="92">
        <f>Setup!I11</f>
        <v>380250</v>
      </c>
      <c r="R62" s="93"/>
      <c r="S62" s="93"/>
    </row>
    <row r="63" spans="1:19" ht="15" customHeight="1" x14ac:dyDescent="0.2">
      <c r="A63" s="60" t="s">
        <v>94</v>
      </c>
      <c r="B63" s="61">
        <f>Setup!F11</f>
        <v>8450</v>
      </c>
      <c r="C63" s="62"/>
      <c r="D63" s="60" t="s">
        <v>95</v>
      </c>
      <c r="E63" s="61">
        <f>Setup!G11</f>
        <v>3</v>
      </c>
      <c r="F63" s="62"/>
      <c r="G63" s="60" t="s">
        <v>96</v>
      </c>
      <c r="H63" s="63">
        <f>Setup!H11</f>
        <v>45</v>
      </c>
      <c r="I63" s="62"/>
      <c r="J63" s="60" t="s">
        <v>13</v>
      </c>
      <c r="K63" s="64">
        <f>Setup!B6</f>
        <v>0.15</v>
      </c>
      <c r="L63" s="62"/>
      <c r="M63" s="60" t="s">
        <v>97</v>
      </c>
      <c r="N63" s="63">
        <f>Setup!J11</f>
        <v>0</v>
      </c>
      <c r="O63" s="62"/>
      <c r="P63" s="60" t="s">
        <v>98</v>
      </c>
      <c r="Q63" s="63">
        <f>Setup!L11</f>
        <v>75000</v>
      </c>
      <c r="R63" s="60" t="s">
        <v>99</v>
      </c>
      <c r="S63" s="64">
        <f>Setup!M11</f>
        <v>3.2000000000000001E-2</v>
      </c>
    </row>
    <row r="64" spans="1:19" ht="25.5" customHeight="1" x14ac:dyDescent="0.2">
      <c r="A64" s="28" t="s">
        <v>74</v>
      </c>
      <c r="B64" s="28" t="s">
        <v>49</v>
      </c>
      <c r="C64" s="28" t="s">
        <v>75</v>
      </c>
      <c r="D64" s="28" t="s">
        <v>76</v>
      </c>
      <c r="E64" s="28" t="s">
        <v>77</v>
      </c>
      <c r="F64" s="28" t="s">
        <v>78</v>
      </c>
      <c r="G64" s="28" t="s">
        <v>79</v>
      </c>
      <c r="H64" s="28" t="s">
        <v>80</v>
      </c>
      <c r="I64" s="28" t="s">
        <v>81</v>
      </c>
      <c r="J64" s="28" t="s">
        <v>82</v>
      </c>
      <c r="K64" s="28" t="s">
        <v>83</v>
      </c>
      <c r="L64" s="28" t="s">
        <v>84</v>
      </c>
      <c r="M64" s="28" t="s">
        <v>85</v>
      </c>
      <c r="N64" s="28" t="s">
        <v>86</v>
      </c>
      <c r="O64" s="41" t="s">
        <v>87</v>
      </c>
      <c r="P64" s="42" t="s">
        <v>88</v>
      </c>
      <c r="Q64" s="29" t="s">
        <v>89</v>
      </c>
      <c r="R64" s="29" t="s">
        <v>90</v>
      </c>
      <c r="S64" s="29" t="s">
        <v>91</v>
      </c>
    </row>
    <row r="65" spans="1:19" ht="15" customHeight="1" x14ac:dyDescent="0.2">
      <c r="A65" s="43" t="str">
        <f>IF(Setup!B26="","",Setup!B26)</f>
        <v>Sing Song Black tee</v>
      </c>
      <c r="B65" s="44" t="str">
        <f>IF($A65="","",Setup!C26)</f>
        <v>Apparel</v>
      </c>
      <c r="C65" s="45">
        <f>IF($A65="","",Setup!D26)</f>
        <v>550</v>
      </c>
      <c r="D65" s="46">
        <f>IF($A65="","",Setup!E26)</f>
        <v>0.3</v>
      </c>
      <c r="E65" s="45">
        <f t="shared" ref="E65:E79" si="31">IF(OR($A65="",$Q$62=""),"",$Q$62*D65)</f>
        <v>114075</v>
      </c>
      <c r="F65" s="47">
        <f t="shared" ref="F65:F79" si="32">IF(OR($A65="",C65=0,E65=""),"",ROUNDUP(E65/C65,0))</f>
        <v>208</v>
      </c>
      <c r="G65" s="47">
        <f>IF(OR($A65="",F65=""),"",ROUND(F65*Setup!F26,0))</f>
        <v>0</v>
      </c>
      <c r="H65" s="47">
        <f>IF(OR($A65="",F65=""),"",ROUND(F65*Setup!G26,0))</f>
        <v>31</v>
      </c>
      <c r="I65" s="47">
        <f>IF(OR($A65="",F65=""),"",ROUND(F65*Setup!H26,0))</f>
        <v>52</v>
      </c>
      <c r="J65" s="47">
        <f>IF(OR($A65="",F65=""),"",ROUND(F65*Setup!I26,0))</f>
        <v>62</v>
      </c>
      <c r="K65" s="47">
        <f>IF(OR($A65="",F65=""),"",ROUND(F65*Setup!J26,0))</f>
        <v>37</v>
      </c>
      <c r="L65" s="47">
        <f>IF(OR($A65="",F65=""),"",ROUND(F65*Setup!K26,0))</f>
        <v>25</v>
      </c>
      <c r="M65" s="47">
        <f>IF(OR($A65="",F65=""),"",ROUND(F65*Setup!L26,0))</f>
        <v>0</v>
      </c>
      <c r="N65" s="45">
        <f t="shared" ref="N65:N79" si="33">IF(OR($A65="",F65=""),"",F65*C65)</f>
        <v>114400</v>
      </c>
      <c r="O65" s="48">
        <f>IF(OR($A65="",N65=""),"",N65*Setup!$B$6/(1+Setup!$B$6))</f>
        <v>14921.739130434784</v>
      </c>
      <c r="P65" s="45">
        <f t="shared" ref="P65:P79" si="34">IF(OR($A65="",N65=""),"",N65-O65)</f>
        <v>99478.260869565216</v>
      </c>
      <c r="Q65" s="49">
        <f>IF($A65="","",Setup!S26)</f>
        <v>169</v>
      </c>
      <c r="R65" s="49">
        <f t="shared" ref="R65:R79" si="35">IF(OR($A65="",F65="",Q65=""),"",F65*Q65)</f>
        <v>35152</v>
      </c>
      <c r="S65" s="50">
        <f t="shared" ref="S65:S79" si="36">IF(OR($A65="",P65="",R65=""),"",P65-R65)</f>
        <v>64326.260869565216</v>
      </c>
    </row>
    <row r="66" spans="1:19" ht="15" customHeight="1" x14ac:dyDescent="0.2">
      <c r="A66" s="51" t="str">
        <f>IF(Setup!B27="","",Setup!B27)</f>
        <v>Kingston Black Tee</v>
      </c>
      <c r="B66" s="52" t="str">
        <f>IF($A66="","",Setup!C27)</f>
        <v>Apparel</v>
      </c>
      <c r="C66" s="53">
        <f>IF($A66="","",Setup!D27)</f>
        <v>550</v>
      </c>
      <c r="D66" s="54">
        <f>IF($A66="","",Setup!E27)</f>
        <v>0.2</v>
      </c>
      <c r="E66" s="53">
        <f t="shared" si="31"/>
        <v>76050</v>
      </c>
      <c r="F66" s="55">
        <f t="shared" si="32"/>
        <v>139</v>
      </c>
      <c r="G66" s="55">
        <f>IF(OR($A66="",F66=""),"",ROUND(F66*Setup!F27,0))</f>
        <v>0</v>
      </c>
      <c r="H66" s="55">
        <f>IF(OR($A66="",F66=""),"",ROUND(F66*Setup!G27,0))</f>
        <v>21</v>
      </c>
      <c r="I66" s="55">
        <f>IF(OR($A66="",F66=""),"",ROUND(F66*Setup!H27,0))</f>
        <v>35</v>
      </c>
      <c r="J66" s="55">
        <f>IF(OR($A66="",F66=""),"",ROUND(F66*Setup!I27,0))</f>
        <v>42</v>
      </c>
      <c r="K66" s="55">
        <f>IF(OR($A66="",F66=""),"",ROUND(F66*Setup!J27,0))</f>
        <v>25</v>
      </c>
      <c r="L66" s="55">
        <f>IF(OR($A66="",F66=""),"",ROUND(F66*Setup!K27,0))</f>
        <v>17</v>
      </c>
      <c r="M66" s="55">
        <f>IF(OR($A66="",F66=""),"",ROUND(F66*Setup!L27,0))</f>
        <v>0</v>
      </c>
      <c r="N66" s="53">
        <f t="shared" si="33"/>
        <v>76450</v>
      </c>
      <c r="O66" s="56">
        <f>IF(OR($A66="",N66=""),"",N66*Setup!$B$6/(1+Setup!$B$6))</f>
        <v>9971.7391304347839</v>
      </c>
      <c r="P66" s="53">
        <f t="shared" si="34"/>
        <v>66478.260869565216</v>
      </c>
      <c r="Q66" s="57">
        <f>IF($A66="","",Setup!S27)</f>
        <v>169</v>
      </c>
      <c r="R66" s="57">
        <f t="shared" si="35"/>
        <v>23491</v>
      </c>
      <c r="S66" s="58">
        <f t="shared" si="36"/>
        <v>42987.260869565216</v>
      </c>
    </row>
    <row r="67" spans="1:19" ht="15" customHeight="1" x14ac:dyDescent="0.2">
      <c r="A67" s="43" t="str">
        <f>IF(Setup!B28="","",Setup!B28)</f>
        <v>Red Red Wine White tee</v>
      </c>
      <c r="B67" s="44" t="str">
        <f>IF($A67="","",Setup!C28)</f>
        <v>Apparel</v>
      </c>
      <c r="C67" s="45">
        <f>IF($A67="","",Setup!D28)</f>
        <v>550</v>
      </c>
      <c r="D67" s="46">
        <f>IF($A67="","",Setup!E28)</f>
        <v>0.3</v>
      </c>
      <c r="E67" s="45">
        <f t="shared" si="31"/>
        <v>114075</v>
      </c>
      <c r="F67" s="47">
        <f t="shared" si="32"/>
        <v>208</v>
      </c>
      <c r="G67" s="47">
        <f>IF(OR($A67="",F67=""),"",ROUND(F67*Setup!F28,0))</f>
        <v>0</v>
      </c>
      <c r="H67" s="47">
        <f>IF(OR($A67="",F67=""),"",ROUND(F67*Setup!G28,0))</f>
        <v>31</v>
      </c>
      <c r="I67" s="47">
        <f>IF(OR($A67="",F67=""),"",ROUND(F67*Setup!H28,0))</f>
        <v>52</v>
      </c>
      <c r="J67" s="47">
        <f>IF(OR($A67="",F67=""),"",ROUND(F67*Setup!I28,0))</f>
        <v>62</v>
      </c>
      <c r="K67" s="47">
        <f>IF(OR($A67="",F67=""),"",ROUND(F67*Setup!J28,0))</f>
        <v>37</v>
      </c>
      <c r="L67" s="47">
        <f>IF(OR($A67="",F67=""),"",ROUND(F67*Setup!K28,0))</f>
        <v>25</v>
      </c>
      <c r="M67" s="47">
        <f>IF(OR($A67="",F67=""),"",ROUND(F67*Setup!L28,0))</f>
        <v>0</v>
      </c>
      <c r="N67" s="45">
        <f t="shared" si="33"/>
        <v>114400</v>
      </c>
      <c r="O67" s="48">
        <f>IF(OR($A67="",N67=""),"",N67*Setup!$B$6/(1+Setup!$B$6))</f>
        <v>14921.739130434784</v>
      </c>
      <c r="P67" s="45">
        <f t="shared" si="34"/>
        <v>99478.260869565216</v>
      </c>
      <c r="Q67" s="49">
        <f>IF($A67="","",Setup!S28)</f>
        <v>162</v>
      </c>
      <c r="R67" s="49">
        <f t="shared" si="35"/>
        <v>33696</v>
      </c>
      <c r="S67" s="50">
        <f t="shared" si="36"/>
        <v>65782.260869565216</v>
      </c>
    </row>
    <row r="68" spans="1:19" ht="15" customHeight="1" x14ac:dyDescent="0.2">
      <c r="A68" s="51" t="str">
        <f>IF(Setup!B29="","",Setup!B29)</f>
        <v>Cap</v>
      </c>
      <c r="B68" s="52" t="str">
        <f>IF($A68="","",Setup!C29)</f>
        <v>Accessory</v>
      </c>
      <c r="C68" s="53">
        <f>IF($A68="","",Setup!D29)</f>
        <v>350</v>
      </c>
      <c r="D68" s="54">
        <f>IF($A68="","",Setup!E29)</f>
        <v>0.13</v>
      </c>
      <c r="E68" s="53">
        <f t="shared" si="31"/>
        <v>49432.5</v>
      </c>
      <c r="F68" s="55">
        <f t="shared" si="32"/>
        <v>142</v>
      </c>
      <c r="G68" s="55">
        <f>IF(OR($A68="",F68=""),"",ROUND(F68*Setup!F29,0))</f>
        <v>0</v>
      </c>
      <c r="H68" s="55">
        <f>IF(OR($A68="",F68=""),"",ROUND(F68*Setup!G29,0))</f>
        <v>0</v>
      </c>
      <c r="I68" s="55">
        <f>IF(OR($A68="",F68=""),"",ROUND(F68*Setup!H29,0))</f>
        <v>0</v>
      </c>
      <c r="J68" s="55">
        <f>IF(OR($A68="",F68=""),"",ROUND(F68*Setup!I29,0))</f>
        <v>0</v>
      </c>
      <c r="K68" s="55">
        <f>IF(OR($A68="",F68=""),"",ROUND(F68*Setup!J29,0))</f>
        <v>0</v>
      </c>
      <c r="L68" s="55">
        <f>IF(OR($A68="",F68=""),"",ROUND(F68*Setup!K29,0))</f>
        <v>0</v>
      </c>
      <c r="M68" s="55">
        <f>IF(OR($A68="",F68=""),"",ROUND(F68*Setup!L29,0))</f>
        <v>0</v>
      </c>
      <c r="N68" s="53">
        <f t="shared" si="33"/>
        <v>49700</v>
      </c>
      <c r="O68" s="56">
        <f>IF(OR($A68="",N68=""),"",N68*Setup!$B$6/(1+Setup!$B$6))</f>
        <v>6482.608695652174</v>
      </c>
      <c r="P68" s="53">
        <f t="shared" si="34"/>
        <v>43217.391304347824</v>
      </c>
      <c r="Q68" s="57">
        <f>IF($A68="","",Setup!S29)</f>
        <v>96</v>
      </c>
      <c r="R68" s="57">
        <f t="shared" si="35"/>
        <v>13632</v>
      </c>
      <c r="S68" s="58">
        <f t="shared" si="36"/>
        <v>29585.391304347824</v>
      </c>
    </row>
    <row r="69" spans="1:19" ht="15" customHeight="1" x14ac:dyDescent="0.2">
      <c r="A69" s="43" t="str">
        <f>IF(Setup!B30="","",Setup!B30)</f>
        <v>Tote</v>
      </c>
      <c r="B69" s="44" t="str">
        <f>IF($A69="","",Setup!C30)</f>
        <v>Accessory</v>
      </c>
      <c r="C69" s="45">
        <f>IF($A69="","",Setup!D30)</f>
        <v>100</v>
      </c>
      <c r="D69" s="46">
        <f>IF($A69="","",Setup!E30)</f>
        <v>7.0000000000000007E-2</v>
      </c>
      <c r="E69" s="45">
        <f t="shared" si="31"/>
        <v>26617.500000000004</v>
      </c>
      <c r="F69" s="47">
        <f t="shared" si="32"/>
        <v>267</v>
      </c>
      <c r="G69" s="47">
        <f>IF(OR($A69="",F69=""),"",ROUND(F69*Setup!F30,0))</f>
        <v>0</v>
      </c>
      <c r="H69" s="47">
        <f>IF(OR($A69="",F69=""),"",ROUND(F69*Setup!G30,0))</f>
        <v>0</v>
      </c>
      <c r="I69" s="47">
        <f>IF(OR($A69="",F69=""),"",ROUND(F69*Setup!H30,0))</f>
        <v>0</v>
      </c>
      <c r="J69" s="47">
        <f>IF(OR($A69="",F69=""),"",ROUND(F69*Setup!I30,0))</f>
        <v>0</v>
      </c>
      <c r="K69" s="47">
        <f>IF(OR($A69="",F69=""),"",ROUND(F69*Setup!J30,0))</f>
        <v>0</v>
      </c>
      <c r="L69" s="47">
        <f>IF(OR($A69="",F69=""),"",ROUND(F69*Setup!K30,0))</f>
        <v>0</v>
      </c>
      <c r="M69" s="47">
        <f>IF(OR($A69="",F69=""),"",ROUND(F69*Setup!L30,0))</f>
        <v>0</v>
      </c>
      <c r="N69" s="45">
        <f t="shared" si="33"/>
        <v>26700</v>
      </c>
      <c r="O69" s="48">
        <f>IF(OR($A69="",N69=""),"",N69*Setup!$B$6/(1+Setup!$B$6))</f>
        <v>3482.608695652174</v>
      </c>
      <c r="P69" s="45">
        <f t="shared" si="34"/>
        <v>23217.391304347824</v>
      </c>
      <c r="Q69" s="49">
        <f>IF($A69="","",Setup!S30)</f>
        <v>50</v>
      </c>
      <c r="R69" s="49">
        <f t="shared" si="35"/>
        <v>13350</v>
      </c>
      <c r="S69" s="50">
        <f t="shared" si="36"/>
        <v>9867.3913043478242</v>
      </c>
    </row>
    <row r="70" spans="1:19" ht="15" customHeight="1" x14ac:dyDescent="0.2">
      <c r="A70" s="51" t="str">
        <f>IF(Setup!B31="","",Setup!B31)</f>
        <v/>
      </c>
      <c r="B70" s="52" t="str">
        <f>IF($A70="","",Setup!C31)</f>
        <v/>
      </c>
      <c r="C70" s="53" t="str">
        <f>IF($A70="","",Setup!D31)</f>
        <v/>
      </c>
      <c r="D70" s="54" t="str">
        <f>IF($A70="","",Setup!E31)</f>
        <v/>
      </c>
      <c r="E70" s="53" t="str">
        <f t="shared" si="31"/>
        <v/>
      </c>
      <c r="F70" s="55" t="str">
        <f t="shared" si="32"/>
        <v/>
      </c>
      <c r="G70" s="55" t="str">
        <f>IF(OR($A70="",F70=""),"",ROUND(F70*Setup!F31,0))</f>
        <v/>
      </c>
      <c r="H70" s="55" t="str">
        <f>IF(OR($A70="",F70=""),"",ROUND(F70*Setup!G31,0))</f>
        <v/>
      </c>
      <c r="I70" s="55" t="str">
        <f>IF(OR($A70="",F70=""),"",ROUND(F70*Setup!H31,0))</f>
        <v/>
      </c>
      <c r="J70" s="55" t="str">
        <f>IF(OR($A70="",F70=""),"",ROUND(F70*Setup!I31,0))</f>
        <v/>
      </c>
      <c r="K70" s="55" t="str">
        <f>IF(OR($A70="",F70=""),"",ROUND(F70*Setup!J31,0))</f>
        <v/>
      </c>
      <c r="L70" s="55" t="str">
        <f>IF(OR($A70="",F70=""),"",ROUND(F70*Setup!K31,0))</f>
        <v/>
      </c>
      <c r="M70" s="55" t="str">
        <f>IF(OR($A70="",F70=""),"",ROUND(F70*Setup!L31,0))</f>
        <v/>
      </c>
      <c r="N70" s="53" t="str">
        <f t="shared" si="33"/>
        <v/>
      </c>
      <c r="O70" s="56" t="str">
        <f>IF(OR($A70="",N70=""),"",N70*Setup!$B$6/(1+Setup!$B$6))</f>
        <v/>
      </c>
      <c r="P70" s="53" t="str">
        <f t="shared" si="34"/>
        <v/>
      </c>
      <c r="Q70" s="57" t="str">
        <f>IF($A70="","",Setup!S31)</f>
        <v/>
      </c>
      <c r="R70" s="57" t="str">
        <f t="shared" si="35"/>
        <v/>
      </c>
      <c r="S70" s="58" t="str">
        <f t="shared" si="36"/>
        <v/>
      </c>
    </row>
    <row r="71" spans="1:19" ht="15" hidden="1" customHeight="1" x14ac:dyDescent="0.2">
      <c r="A71" s="43" t="str">
        <f>IF(Setup!B32="","",Setup!B32)</f>
        <v/>
      </c>
      <c r="B71" s="44" t="str">
        <f>IF($A71="","",Setup!C32)</f>
        <v/>
      </c>
      <c r="C71" s="45" t="str">
        <f>IF($A71="","",Setup!D32)</f>
        <v/>
      </c>
      <c r="D71" s="46" t="str">
        <f>IF($A71="","",Setup!E32)</f>
        <v/>
      </c>
      <c r="E71" s="45" t="str">
        <f t="shared" si="31"/>
        <v/>
      </c>
      <c r="F71" s="47" t="str">
        <f t="shared" si="32"/>
        <v/>
      </c>
      <c r="G71" s="47" t="str">
        <f>IF(OR($A71="",F71=""),"",ROUND(F71*Setup!F32,0))</f>
        <v/>
      </c>
      <c r="H71" s="47" t="str">
        <f>IF(OR($A71="",F71=""),"",ROUND(F71*Setup!G32,0))</f>
        <v/>
      </c>
      <c r="I71" s="47" t="str">
        <f>IF(OR($A71="",F71=""),"",ROUND(F71*Setup!H32,0))</f>
        <v/>
      </c>
      <c r="J71" s="47" t="str">
        <f>IF(OR($A71="",F71=""),"",ROUND(F71*Setup!I32,0))</f>
        <v/>
      </c>
      <c r="K71" s="47" t="str">
        <f>IF(OR($A71="",F71=""),"",ROUND(F71*Setup!J32,0))</f>
        <v/>
      </c>
      <c r="L71" s="47" t="str">
        <f>IF(OR($A71="",F71=""),"",ROUND(F71*Setup!K32,0))</f>
        <v/>
      </c>
      <c r="M71" s="47" t="str">
        <f>IF(OR($A71="",F71=""),"",ROUND(F71*Setup!L32,0))</f>
        <v/>
      </c>
      <c r="N71" s="45" t="str">
        <f t="shared" si="33"/>
        <v/>
      </c>
      <c r="O71" s="48" t="str">
        <f>IF(OR($A71="",N71=""),"",N71*Setup!$B$6/(1+Setup!$B$6))</f>
        <v/>
      </c>
      <c r="P71" s="45" t="str">
        <f t="shared" si="34"/>
        <v/>
      </c>
      <c r="Q71" s="49" t="str">
        <f>IF($A71="","",Setup!S32)</f>
        <v/>
      </c>
      <c r="R71" s="49" t="str">
        <f t="shared" si="35"/>
        <v/>
      </c>
      <c r="S71" s="50" t="str">
        <f t="shared" si="36"/>
        <v/>
      </c>
    </row>
    <row r="72" spans="1:19" ht="15" hidden="1" customHeight="1" x14ac:dyDescent="0.2">
      <c r="A72" s="51" t="str">
        <f>IF(Setup!B33="","",Setup!B33)</f>
        <v/>
      </c>
      <c r="B72" s="52" t="str">
        <f>IF($A72="","",Setup!C33)</f>
        <v/>
      </c>
      <c r="C72" s="53" t="str">
        <f>IF($A72="","",Setup!D33)</f>
        <v/>
      </c>
      <c r="D72" s="54" t="str">
        <f>IF($A72="","",Setup!E33)</f>
        <v/>
      </c>
      <c r="E72" s="53" t="str">
        <f t="shared" si="31"/>
        <v/>
      </c>
      <c r="F72" s="55" t="str">
        <f t="shared" si="32"/>
        <v/>
      </c>
      <c r="G72" s="55" t="str">
        <f>IF(OR($A72="",F72=""),"",ROUND(F72*Setup!F33,0))</f>
        <v/>
      </c>
      <c r="H72" s="55" t="str">
        <f>IF(OR($A72="",F72=""),"",ROUND(F72*Setup!G33,0))</f>
        <v/>
      </c>
      <c r="I72" s="55" t="str">
        <f>IF(OR($A72="",F72=""),"",ROUND(F72*Setup!H33,0))</f>
        <v/>
      </c>
      <c r="J72" s="55" t="str">
        <f>IF(OR($A72="",F72=""),"",ROUND(F72*Setup!I33,0))</f>
        <v/>
      </c>
      <c r="K72" s="55" t="str">
        <f>IF(OR($A72="",F72=""),"",ROUND(F72*Setup!J33,0))</f>
        <v/>
      </c>
      <c r="L72" s="55" t="str">
        <f>IF(OR($A72="",F72=""),"",ROUND(F72*Setup!K33,0))</f>
        <v/>
      </c>
      <c r="M72" s="55" t="str">
        <f>IF(OR($A72="",F72=""),"",ROUND(F72*Setup!L33,0))</f>
        <v/>
      </c>
      <c r="N72" s="53" t="str">
        <f t="shared" si="33"/>
        <v/>
      </c>
      <c r="O72" s="56" t="str">
        <f>IF(OR($A72="",N72=""),"",N72*Setup!$B$6/(1+Setup!$B$6))</f>
        <v/>
      </c>
      <c r="P72" s="53" t="str">
        <f t="shared" si="34"/>
        <v/>
      </c>
      <c r="Q72" s="57" t="str">
        <f>IF($A72="","",Setup!S33)</f>
        <v/>
      </c>
      <c r="R72" s="57" t="str">
        <f t="shared" si="35"/>
        <v/>
      </c>
      <c r="S72" s="58" t="str">
        <f t="shared" si="36"/>
        <v/>
      </c>
    </row>
    <row r="73" spans="1:19" ht="15" hidden="1" customHeight="1" x14ac:dyDescent="0.2">
      <c r="A73" s="43" t="str">
        <f>IF(Setup!B34="","",Setup!B34)</f>
        <v/>
      </c>
      <c r="B73" s="44" t="str">
        <f>IF($A73="","",Setup!C34)</f>
        <v/>
      </c>
      <c r="C73" s="45" t="str">
        <f>IF($A73="","",Setup!D34)</f>
        <v/>
      </c>
      <c r="D73" s="46" t="str">
        <f>IF($A73="","",Setup!E34)</f>
        <v/>
      </c>
      <c r="E73" s="45" t="str">
        <f t="shared" si="31"/>
        <v/>
      </c>
      <c r="F73" s="47" t="str">
        <f t="shared" si="32"/>
        <v/>
      </c>
      <c r="G73" s="47" t="str">
        <f>IF(OR($A73="",F73=""),"",ROUND(F73*Setup!F34,0))</f>
        <v/>
      </c>
      <c r="H73" s="47" t="str">
        <f>IF(OR($A73="",F73=""),"",ROUND(F73*Setup!G34,0))</f>
        <v/>
      </c>
      <c r="I73" s="47" t="str">
        <f>IF(OR($A73="",F73=""),"",ROUND(F73*Setup!H34,0))</f>
        <v/>
      </c>
      <c r="J73" s="47" t="str">
        <f>IF(OR($A73="",F73=""),"",ROUND(F73*Setup!I34,0))</f>
        <v/>
      </c>
      <c r="K73" s="47" t="str">
        <f>IF(OR($A73="",F73=""),"",ROUND(F73*Setup!J34,0))</f>
        <v/>
      </c>
      <c r="L73" s="47" t="str">
        <f>IF(OR($A73="",F73=""),"",ROUND(F73*Setup!K34,0))</f>
        <v/>
      </c>
      <c r="M73" s="47" t="str">
        <f>IF(OR($A73="",F73=""),"",ROUND(F73*Setup!L34,0))</f>
        <v/>
      </c>
      <c r="N73" s="45" t="str">
        <f t="shared" si="33"/>
        <v/>
      </c>
      <c r="O73" s="48" t="str">
        <f>IF(OR($A73="",N73=""),"",N73*Setup!$B$6/(1+Setup!$B$6))</f>
        <v/>
      </c>
      <c r="P73" s="45" t="str">
        <f t="shared" si="34"/>
        <v/>
      </c>
      <c r="Q73" s="49" t="str">
        <f>IF($A73="","",Setup!S34)</f>
        <v/>
      </c>
      <c r="R73" s="49" t="str">
        <f t="shared" si="35"/>
        <v/>
      </c>
      <c r="S73" s="50" t="str">
        <f t="shared" si="36"/>
        <v/>
      </c>
    </row>
    <row r="74" spans="1:19" ht="15" hidden="1" customHeight="1" x14ac:dyDescent="0.2">
      <c r="A74" s="51" t="str">
        <f>IF(Setup!B35="","",Setup!B35)</f>
        <v/>
      </c>
      <c r="B74" s="52" t="str">
        <f>IF($A74="","",Setup!C35)</f>
        <v/>
      </c>
      <c r="C74" s="53" t="str">
        <f>IF($A74="","",Setup!D35)</f>
        <v/>
      </c>
      <c r="D74" s="54" t="str">
        <f>IF($A74="","",Setup!E35)</f>
        <v/>
      </c>
      <c r="E74" s="53" t="str">
        <f t="shared" si="31"/>
        <v/>
      </c>
      <c r="F74" s="55" t="str">
        <f t="shared" si="32"/>
        <v/>
      </c>
      <c r="G74" s="55" t="str">
        <f>IF(OR($A74="",F74=""),"",ROUND(F74*Setup!F35,0))</f>
        <v/>
      </c>
      <c r="H74" s="55" t="str">
        <f>IF(OR($A74="",F74=""),"",ROUND(F74*Setup!G35,0))</f>
        <v/>
      </c>
      <c r="I74" s="55" t="str">
        <f>IF(OR($A74="",F74=""),"",ROUND(F74*Setup!H35,0))</f>
        <v/>
      </c>
      <c r="J74" s="55" t="str">
        <f>IF(OR($A74="",F74=""),"",ROUND(F74*Setup!I35,0))</f>
        <v/>
      </c>
      <c r="K74" s="55" t="str">
        <f>IF(OR($A74="",F74=""),"",ROUND(F74*Setup!J35,0))</f>
        <v/>
      </c>
      <c r="L74" s="55" t="str">
        <f>IF(OR($A74="",F74=""),"",ROUND(F74*Setup!K35,0))</f>
        <v/>
      </c>
      <c r="M74" s="55" t="str">
        <f>IF(OR($A74="",F74=""),"",ROUND(F74*Setup!L35,0))</f>
        <v/>
      </c>
      <c r="N74" s="53" t="str">
        <f t="shared" si="33"/>
        <v/>
      </c>
      <c r="O74" s="56" t="str">
        <f>IF(OR($A74="",N74=""),"",N74*Setup!$B$6/(1+Setup!$B$6))</f>
        <v/>
      </c>
      <c r="P74" s="53" t="str">
        <f t="shared" si="34"/>
        <v/>
      </c>
      <c r="Q74" s="57" t="str">
        <f>IF($A74="","",Setup!S35)</f>
        <v/>
      </c>
      <c r="R74" s="57" t="str">
        <f t="shared" si="35"/>
        <v/>
      </c>
      <c r="S74" s="58" t="str">
        <f t="shared" si="36"/>
        <v/>
      </c>
    </row>
    <row r="75" spans="1:19" ht="15" hidden="1" customHeight="1" x14ac:dyDescent="0.2">
      <c r="A75" s="43" t="str">
        <f>IF(Setup!B36="","",Setup!B36)</f>
        <v/>
      </c>
      <c r="B75" s="44" t="str">
        <f>IF($A75="","",Setup!C36)</f>
        <v/>
      </c>
      <c r="C75" s="45" t="str">
        <f>IF($A75="","",Setup!D36)</f>
        <v/>
      </c>
      <c r="D75" s="46" t="str">
        <f>IF($A75="","",Setup!E36)</f>
        <v/>
      </c>
      <c r="E75" s="45" t="str">
        <f t="shared" si="31"/>
        <v/>
      </c>
      <c r="F75" s="47" t="str">
        <f t="shared" si="32"/>
        <v/>
      </c>
      <c r="G75" s="47" t="str">
        <f>IF(OR($A75="",F75=""),"",ROUND(F75*Setup!F36,0))</f>
        <v/>
      </c>
      <c r="H75" s="47" t="str">
        <f>IF(OR($A75="",F75=""),"",ROUND(F75*Setup!G36,0))</f>
        <v/>
      </c>
      <c r="I75" s="47" t="str">
        <f>IF(OR($A75="",F75=""),"",ROUND(F75*Setup!H36,0))</f>
        <v/>
      </c>
      <c r="J75" s="47" t="str">
        <f>IF(OR($A75="",F75=""),"",ROUND(F75*Setup!I36,0))</f>
        <v/>
      </c>
      <c r="K75" s="47" t="str">
        <f>IF(OR($A75="",F75=""),"",ROUND(F75*Setup!J36,0))</f>
        <v/>
      </c>
      <c r="L75" s="47" t="str">
        <f>IF(OR($A75="",F75=""),"",ROUND(F75*Setup!K36,0))</f>
        <v/>
      </c>
      <c r="M75" s="47" t="str">
        <f>IF(OR($A75="",F75=""),"",ROUND(F75*Setup!L36,0))</f>
        <v/>
      </c>
      <c r="N75" s="45" t="str">
        <f t="shared" si="33"/>
        <v/>
      </c>
      <c r="O75" s="48" t="str">
        <f>IF(OR($A75="",N75=""),"",N75*Setup!$B$6/(1+Setup!$B$6))</f>
        <v/>
      </c>
      <c r="P75" s="45" t="str">
        <f t="shared" si="34"/>
        <v/>
      </c>
      <c r="Q75" s="49" t="str">
        <f>IF($A75="","",Setup!S36)</f>
        <v/>
      </c>
      <c r="R75" s="49" t="str">
        <f t="shared" si="35"/>
        <v/>
      </c>
      <c r="S75" s="50" t="str">
        <f t="shared" si="36"/>
        <v/>
      </c>
    </row>
    <row r="76" spans="1:19" ht="15" hidden="1" customHeight="1" x14ac:dyDescent="0.2">
      <c r="A76" s="51" t="str">
        <f>IF(Setup!B37="","",Setup!B37)</f>
        <v/>
      </c>
      <c r="B76" s="52" t="str">
        <f>IF($A76="","",Setup!C37)</f>
        <v/>
      </c>
      <c r="C76" s="53" t="str">
        <f>IF($A76="","",Setup!D37)</f>
        <v/>
      </c>
      <c r="D76" s="54" t="str">
        <f>IF($A76="","",Setup!E37)</f>
        <v/>
      </c>
      <c r="E76" s="53" t="str">
        <f t="shared" si="31"/>
        <v/>
      </c>
      <c r="F76" s="55" t="str">
        <f t="shared" si="32"/>
        <v/>
      </c>
      <c r="G76" s="55" t="str">
        <f>IF(OR($A76="",F76=""),"",ROUND(F76*Setup!F37,0))</f>
        <v/>
      </c>
      <c r="H76" s="55" t="str">
        <f>IF(OR($A76="",F76=""),"",ROUND(F76*Setup!G37,0))</f>
        <v/>
      </c>
      <c r="I76" s="55" t="str">
        <f>IF(OR($A76="",F76=""),"",ROUND(F76*Setup!H37,0))</f>
        <v/>
      </c>
      <c r="J76" s="55" t="str">
        <f>IF(OR($A76="",F76=""),"",ROUND(F76*Setup!I37,0))</f>
        <v/>
      </c>
      <c r="K76" s="55" t="str">
        <f>IF(OR($A76="",F76=""),"",ROUND(F76*Setup!J37,0))</f>
        <v/>
      </c>
      <c r="L76" s="55" t="str">
        <f>IF(OR($A76="",F76=""),"",ROUND(F76*Setup!K37,0))</f>
        <v/>
      </c>
      <c r="M76" s="55" t="str">
        <f>IF(OR($A76="",F76=""),"",ROUND(F76*Setup!L37,0))</f>
        <v/>
      </c>
      <c r="N76" s="53" t="str">
        <f t="shared" si="33"/>
        <v/>
      </c>
      <c r="O76" s="56" t="str">
        <f>IF(OR($A76="",N76=""),"",N76*Setup!$B$6/(1+Setup!$B$6))</f>
        <v/>
      </c>
      <c r="P76" s="53" t="str">
        <f t="shared" si="34"/>
        <v/>
      </c>
      <c r="Q76" s="57" t="str">
        <f>IF($A76="","",Setup!S37)</f>
        <v/>
      </c>
      <c r="R76" s="57" t="str">
        <f t="shared" si="35"/>
        <v/>
      </c>
      <c r="S76" s="58" t="str">
        <f t="shared" si="36"/>
        <v/>
      </c>
    </row>
    <row r="77" spans="1:19" ht="15" hidden="1" customHeight="1" x14ac:dyDescent="0.2">
      <c r="A77" s="43" t="str">
        <f>IF(Setup!B38="","",Setup!B38)</f>
        <v/>
      </c>
      <c r="B77" s="44" t="str">
        <f>IF($A77="","",Setup!C38)</f>
        <v/>
      </c>
      <c r="C77" s="45" t="str">
        <f>IF($A77="","",Setup!D38)</f>
        <v/>
      </c>
      <c r="D77" s="46" t="str">
        <f>IF($A77="","",Setup!E38)</f>
        <v/>
      </c>
      <c r="E77" s="45" t="str">
        <f t="shared" si="31"/>
        <v/>
      </c>
      <c r="F77" s="47" t="str">
        <f t="shared" si="32"/>
        <v/>
      </c>
      <c r="G77" s="47" t="str">
        <f>IF(OR($A77="",F77=""),"",ROUND(F77*Setup!F38,0))</f>
        <v/>
      </c>
      <c r="H77" s="47" t="str">
        <f>IF(OR($A77="",F77=""),"",ROUND(F77*Setup!G38,0))</f>
        <v/>
      </c>
      <c r="I77" s="47" t="str">
        <f>IF(OR($A77="",F77=""),"",ROUND(F77*Setup!H38,0))</f>
        <v/>
      </c>
      <c r="J77" s="47" t="str">
        <f>IF(OR($A77="",F77=""),"",ROUND(F77*Setup!I38,0))</f>
        <v/>
      </c>
      <c r="K77" s="47" t="str">
        <f>IF(OR($A77="",F77=""),"",ROUND(F77*Setup!J38,0))</f>
        <v/>
      </c>
      <c r="L77" s="47" t="str">
        <f>IF(OR($A77="",F77=""),"",ROUND(F77*Setup!K38,0))</f>
        <v/>
      </c>
      <c r="M77" s="47" t="str">
        <f>IF(OR($A77="",F77=""),"",ROUND(F77*Setup!L38,0))</f>
        <v/>
      </c>
      <c r="N77" s="45" t="str">
        <f t="shared" si="33"/>
        <v/>
      </c>
      <c r="O77" s="48" t="str">
        <f>IF(OR($A77="",N77=""),"",N77*Setup!$B$6/(1+Setup!$B$6))</f>
        <v/>
      </c>
      <c r="P77" s="45" t="str">
        <f t="shared" si="34"/>
        <v/>
      </c>
      <c r="Q77" s="49" t="str">
        <f>IF($A77="","",Setup!S38)</f>
        <v/>
      </c>
      <c r="R77" s="49" t="str">
        <f t="shared" si="35"/>
        <v/>
      </c>
      <c r="S77" s="50" t="str">
        <f t="shared" si="36"/>
        <v/>
      </c>
    </row>
    <row r="78" spans="1:19" ht="15" hidden="1" customHeight="1" x14ac:dyDescent="0.2">
      <c r="A78" s="51" t="str">
        <f>IF(Setup!B39="","",Setup!B39)</f>
        <v/>
      </c>
      <c r="B78" s="52" t="str">
        <f>IF($A78="","",Setup!C39)</f>
        <v/>
      </c>
      <c r="C78" s="53" t="str">
        <f>IF($A78="","",Setup!D39)</f>
        <v/>
      </c>
      <c r="D78" s="54" t="str">
        <f>IF($A78="","",Setup!E39)</f>
        <v/>
      </c>
      <c r="E78" s="53" t="str">
        <f t="shared" si="31"/>
        <v/>
      </c>
      <c r="F78" s="55" t="str">
        <f t="shared" si="32"/>
        <v/>
      </c>
      <c r="G78" s="55" t="str">
        <f>IF(OR($A78="",F78=""),"",ROUND(F78*Setup!F39,0))</f>
        <v/>
      </c>
      <c r="H78" s="55" t="str">
        <f>IF(OR($A78="",F78=""),"",ROUND(F78*Setup!G39,0))</f>
        <v/>
      </c>
      <c r="I78" s="55" t="str">
        <f>IF(OR($A78="",F78=""),"",ROUND(F78*Setup!H39,0))</f>
        <v/>
      </c>
      <c r="J78" s="55" t="str">
        <f>IF(OR($A78="",F78=""),"",ROUND(F78*Setup!I39,0))</f>
        <v/>
      </c>
      <c r="K78" s="55" t="str">
        <f>IF(OR($A78="",F78=""),"",ROUND(F78*Setup!J39,0))</f>
        <v/>
      </c>
      <c r="L78" s="55" t="str">
        <f>IF(OR($A78="",F78=""),"",ROUND(F78*Setup!K39,0))</f>
        <v/>
      </c>
      <c r="M78" s="55" t="str">
        <f>IF(OR($A78="",F78=""),"",ROUND(F78*Setup!L39,0))</f>
        <v/>
      </c>
      <c r="N78" s="53" t="str">
        <f t="shared" si="33"/>
        <v/>
      </c>
      <c r="O78" s="56" t="str">
        <f>IF(OR($A78="",N78=""),"",N78*Setup!$B$6/(1+Setup!$B$6))</f>
        <v/>
      </c>
      <c r="P78" s="53" t="str">
        <f t="shared" si="34"/>
        <v/>
      </c>
      <c r="Q78" s="57" t="str">
        <f>IF($A78="","",Setup!S39)</f>
        <v/>
      </c>
      <c r="R78" s="57" t="str">
        <f t="shared" si="35"/>
        <v/>
      </c>
      <c r="S78" s="58" t="str">
        <f t="shared" si="36"/>
        <v/>
      </c>
    </row>
    <row r="79" spans="1:19" ht="15" hidden="1" customHeight="1" x14ac:dyDescent="0.2">
      <c r="A79" s="43" t="str">
        <f>IF(Setup!B40="","",Setup!B40)</f>
        <v/>
      </c>
      <c r="B79" s="44" t="str">
        <f>IF($A79="","",Setup!C40)</f>
        <v/>
      </c>
      <c r="C79" s="45" t="str">
        <f>IF($A79="","",Setup!D40)</f>
        <v/>
      </c>
      <c r="D79" s="46" t="str">
        <f>IF($A79="","",Setup!E40)</f>
        <v/>
      </c>
      <c r="E79" s="45" t="str">
        <f t="shared" si="31"/>
        <v/>
      </c>
      <c r="F79" s="47" t="str">
        <f t="shared" si="32"/>
        <v/>
      </c>
      <c r="G79" s="47" t="str">
        <f>IF(OR($A79="",F79=""),"",ROUND(F79*Setup!F40,0))</f>
        <v/>
      </c>
      <c r="H79" s="47" t="str">
        <f>IF(OR($A79="",F79=""),"",ROUND(F79*Setup!G40,0))</f>
        <v/>
      </c>
      <c r="I79" s="47" t="str">
        <f>IF(OR($A79="",F79=""),"",ROUND(F79*Setup!H40,0))</f>
        <v/>
      </c>
      <c r="J79" s="47" t="str">
        <f>IF(OR($A79="",F79=""),"",ROUND(F79*Setup!I40,0))</f>
        <v/>
      </c>
      <c r="K79" s="47" t="str">
        <f>IF(OR($A79="",F79=""),"",ROUND(F79*Setup!J40,0))</f>
        <v/>
      </c>
      <c r="L79" s="47" t="str">
        <f>IF(OR($A79="",F79=""),"",ROUND(F79*Setup!K40,0))</f>
        <v/>
      </c>
      <c r="M79" s="47" t="str">
        <f>IF(OR($A79="",F79=""),"",ROUND(F79*Setup!L40,0))</f>
        <v/>
      </c>
      <c r="N79" s="45" t="str">
        <f t="shared" si="33"/>
        <v/>
      </c>
      <c r="O79" s="48" t="str">
        <f>IF(OR($A79="",N79=""),"",N79*Setup!$B$6/(1+Setup!$B$6))</f>
        <v/>
      </c>
      <c r="P79" s="45" t="str">
        <f t="shared" si="34"/>
        <v/>
      </c>
      <c r="Q79" s="49" t="str">
        <f>IF($A79="","",Setup!S40)</f>
        <v/>
      </c>
      <c r="R79" s="49" t="str">
        <f t="shared" si="35"/>
        <v/>
      </c>
      <c r="S79" s="50" t="str">
        <f t="shared" si="36"/>
        <v/>
      </c>
    </row>
    <row r="80" spans="1:19" ht="15" customHeight="1" x14ac:dyDescent="0.2">
      <c r="A80" s="59" t="s">
        <v>100</v>
      </c>
      <c r="B80" s="26"/>
      <c r="C80" s="26"/>
      <c r="D80" s="26"/>
      <c r="E80" s="26">
        <f t="shared" ref="E80:P80" si="37">SUM(E65:E79)</f>
        <v>380250</v>
      </c>
      <c r="F80" s="25">
        <f t="shared" si="37"/>
        <v>964</v>
      </c>
      <c r="G80" s="25">
        <f t="shared" si="37"/>
        <v>0</v>
      </c>
      <c r="H80" s="25">
        <f t="shared" si="37"/>
        <v>83</v>
      </c>
      <c r="I80" s="25">
        <f t="shared" si="37"/>
        <v>139</v>
      </c>
      <c r="J80" s="25">
        <f t="shared" si="37"/>
        <v>166</v>
      </c>
      <c r="K80" s="25">
        <f t="shared" si="37"/>
        <v>99</v>
      </c>
      <c r="L80" s="25">
        <f t="shared" si="37"/>
        <v>67</v>
      </c>
      <c r="M80" s="25">
        <f t="shared" si="37"/>
        <v>0</v>
      </c>
      <c r="N80" s="26">
        <f t="shared" si="37"/>
        <v>381650</v>
      </c>
      <c r="O80" s="26">
        <f t="shared" si="37"/>
        <v>49780.434782608703</v>
      </c>
      <c r="P80" s="26">
        <f t="shared" si="37"/>
        <v>331869.56521739135</v>
      </c>
      <c r="Q80" s="26"/>
      <c r="R80" s="26">
        <f>SUM(R65:R79)</f>
        <v>119321</v>
      </c>
      <c r="S80" s="26">
        <f>SUM(S65:S79)</f>
        <v>212548.5652173913</v>
      </c>
    </row>
    <row r="83" spans="1:19" ht="15.75" customHeight="1" x14ac:dyDescent="0.2">
      <c r="A83" s="96" t="str">
        <f>IF(Setup!C12="","Event 4: Not configured",UPPER(Setup!C12&amp;" - "&amp;Setup!D12&amp;" | "&amp;TEXT(Setup!B12,"DD MMM YYYY")))</f>
        <v>PRETORIA - SUNBET ARENA TIME SQUARE | 07 JUN 2026</v>
      </c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4" t="s">
        <v>93</v>
      </c>
      <c r="O83" s="93"/>
      <c r="P83" s="93"/>
      <c r="Q83" s="92">
        <f>Setup!I12</f>
        <v>192500</v>
      </c>
      <c r="R83" s="93"/>
      <c r="S83" s="93"/>
    </row>
    <row r="84" spans="1:19" ht="15" customHeight="1" x14ac:dyDescent="0.2">
      <c r="A84" s="60" t="s">
        <v>94</v>
      </c>
      <c r="B84" s="61">
        <f>Setup!F12</f>
        <v>5500</v>
      </c>
      <c r="C84" s="62"/>
      <c r="D84" s="60" t="s">
        <v>95</v>
      </c>
      <c r="E84" s="61">
        <f>Setup!G12</f>
        <v>3</v>
      </c>
      <c r="F84" s="62"/>
      <c r="G84" s="60" t="s">
        <v>96</v>
      </c>
      <c r="H84" s="63">
        <f>Setup!H12</f>
        <v>35</v>
      </c>
      <c r="I84" s="62"/>
      <c r="J84" s="60" t="s">
        <v>13</v>
      </c>
      <c r="K84" s="64">
        <f>Setup!B6</f>
        <v>0.15</v>
      </c>
      <c r="L84" s="62"/>
      <c r="M84" s="60" t="s">
        <v>97</v>
      </c>
      <c r="N84" s="63">
        <f>Setup!J12</f>
        <v>0</v>
      </c>
      <c r="O84" s="62"/>
      <c r="P84" s="60" t="s">
        <v>98</v>
      </c>
      <c r="Q84" s="63">
        <f>Setup!L12</f>
        <v>60000</v>
      </c>
      <c r="R84" s="60" t="s">
        <v>99</v>
      </c>
      <c r="S84" s="64">
        <f>Setup!M12</f>
        <v>3.2000000000000001E-2</v>
      </c>
    </row>
    <row r="85" spans="1:19" ht="25.5" customHeight="1" x14ac:dyDescent="0.2">
      <c r="A85" s="28" t="s">
        <v>74</v>
      </c>
      <c r="B85" s="28" t="s">
        <v>49</v>
      </c>
      <c r="C85" s="28" t="s">
        <v>75</v>
      </c>
      <c r="D85" s="28" t="s">
        <v>76</v>
      </c>
      <c r="E85" s="28" t="s">
        <v>77</v>
      </c>
      <c r="F85" s="28" t="s">
        <v>78</v>
      </c>
      <c r="G85" s="28" t="s">
        <v>79</v>
      </c>
      <c r="H85" s="28" t="s">
        <v>80</v>
      </c>
      <c r="I85" s="28" t="s">
        <v>81</v>
      </c>
      <c r="J85" s="28" t="s">
        <v>82</v>
      </c>
      <c r="K85" s="28" t="s">
        <v>83</v>
      </c>
      <c r="L85" s="28" t="s">
        <v>84</v>
      </c>
      <c r="M85" s="28" t="s">
        <v>85</v>
      </c>
      <c r="N85" s="28" t="s">
        <v>86</v>
      </c>
      <c r="O85" s="41" t="s">
        <v>87</v>
      </c>
      <c r="P85" s="42" t="s">
        <v>88</v>
      </c>
      <c r="Q85" s="29" t="s">
        <v>89</v>
      </c>
      <c r="R85" s="29" t="s">
        <v>90</v>
      </c>
      <c r="S85" s="29" t="s">
        <v>91</v>
      </c>
    </row>
    <row r="86" spans="1:19" ht="15" customHeight="1" x14ac:dyDescent="0.2">
      <c r="A86" s="43" t="str">
        <f>IF(Setup!B26="","",Setup!B26)</f>
        <v>Sing Song Black tee</v>
      </c>
      <c r="B86" s="44" t="str">
        <f>IF($A86="","",Setup!C26)</f>
        <v>Apparel</v>
      </c>
      <c r="C86" s="45">
        <f>IF($A86="","",Setup!D26)</f>
        <v>550</v>
      </c>
      <c r="D86" s="46">
        <f>IF($A86="","",Setup!E26)</f>
        <v>0.3</v>
      </c>
      <c r="E86" s="45">
        <f t="shared" ref="E86:E100" si="38">IF(OR($A86="",$Q$83=""),"",$Q$83*D86)</f>
        <v>57750</v>
      </c>
      <c r="F86" s="47">
        <f t="shared" ref="F86:F100" si="39">IF(OR($A86="",C86=0,E86=""),"",ROUNDUP(E86/C86,0))</f>
        <v>105</v>
      </c>
      <c r="G86" s="47">
        <f>IF(OR($A86="",F86=""),"",ROUND(F86*Setup!F26,0))</f>
        <v>0</v>
      </c>
      <c r="H86" s="47">
        <f>IF(OR($A86="",F86=""),"",ROUND(F86*Setup!G26,0))</f>
        <v>16</v>
      </c>
      <c r="I86" s="47">
        <f>IF(OR($A86="",F86=""),"",ROUND(F86*Setup!H26,0))</f>
        <v>26</v>
      </c>
      <c r="J86" s="47">
        <f>IF(OR($A86="",F86=""),"",ROUND(F86*Setup!I26,0))</f>
        <v>32</v>
      </c>
      <c r="K86" s="47">
        <f>IF(OR($A86="",F86=""),"",ROUND(F86*Setup!J26,0))</f>
        <v>19</v>
      </c>
      <c r="L86" s="47">
        <f>IF(OR($A86="",F86=""),"",ROUND(F86*Setup!K26,0))</f>
        <v>13</v>
      </c>
      <c r="M86" s="47">
        <f>IF(OR($A86="",F86=""),"",ROUND(F86*Setup!L26,0))</f>
        <v>0</v>
      </c>
      <c r="N86" s="45">
        <f t="shared" ref="N86:N100" si="40">IF(OR($A86="",F86=""),"",F86*C86)</f>
        <v>57750</v>
      </c>
      <c r="O86" s="48">
        <f>IF(OR($A86="",N86=""),"",N86*Setup!$B$6/(1+Setup!$B$6))</f>
        <v>7532.6086956521749</v>
      </c>
      <c r="P86" s="45">
        <f t="shared" ref="P86:P100" si="41">IF(OR($A86="",N86=""),"",N86-O86)</f>
        <v>50217.391304347824</v>
      </c>
      <c r="Q86" s="49">
        <f>IF($A86="","",Setup!S26)</f>
        <v>169</v>
      </c>
      <c r="R86" s="49">
        <f t="shared" ref="R86:R100" si="42">IF(OR($A86="",F86="",Q86=""),"",F86*Q86)</f>
        <v>17745</v>
      </c>
      <c r="S86" s="50">
        <f t="shared" ref="S86:S100" si="43">IF(OR($A86="",P86="",R86=""),"",P86-R86)</f>
        <v>32472.391304347824</v>
      </c>
    </row>
    <row r="87" spans="1:19" ht="15" customHeight="1" x14ac:dyDescent="0.2">
      <c r="A87" s="51" t="str">
        <f>IF(Setup!B27="","",Setup!B27)</f>
        <v>Kingston Black Tee</v>
      </c>
      <c r="B87" s="52" t="str">
        <f>IF($A87="","",Setup!C27)</f>
        <v>Apparel</v>
      </c>
      <c r="C87" s="53">
        <f>IF($A87="","",Setup!D27)</f>
        <v>550</v>
      </c>
      <c r="D87" s="54">
        <f>IF($A87="","",Setup!E27)</f>
        <v>0.2</v>
      </c>
      <c r="E87" s="53">
        <f t="shared" si="38"/>
        <v>38500</v>
      </c>
      <c r="F87" s="55">
        <f t="shared" si="39"/>
        <v>70</v>
      </c>
      <c r="G87" s="55">
        <f>IF(OR($A87="",F87=""),"",ROUND(F87*Setup!F27,0))</f>
        <v>0</v>
      </c>
      <c r="H87" s="55">
        <f>IF(OR($A87="",F87=""),"",ROUND(F87*Setup!G27,0))</f>
        <v>11</v>
      </c>
      <c r="I87" s="55">
        <f>IF(OR($A87="",F87=""),"",ROUND(F87*Setup!H27,0))</f>
        <v>18</v>
      </c>
      <c r="J87" s="55">
        <f>IF(OR($A87="",F87=""),"",ROUND(F87*Setup!I27,0))</f>
        <v>21</v>
      </c>
      <c r="K87" s="55">
        <f>IF(OR($A87="",F87=""),"",ROUND(F87*Setup!J27,0))</f>
        <v>13</v>
      </c>
      <c r="L87" s="55">
        <f>IF(OR($A87="",F87=""),"",ROUND(F87*Setup!K27,0))</f>
        <v>8</v>
      </c>
      <c r="M87" s="55">
        <f>IF(OR($A87="",F87=""),"",ROUND(F87*Setup!L27,0))</f>
        <v>0</v>
      </c>
      <c r="N87" s="53">
        <f t="shared" si="40"/>
        <v>38500</v>
      </c>
      <c r="O87" s="56">
        <f>IF(OR($A87="",N87=""),"",N87*Setup!$B$6/(1+Setup!$B$6))</f>
        <v>5021.739130434783</v>
      </c>
      <c r="P87" s="53">
        <f t="shared" si="41"/>
        <v>33478.260869565216</v>
      </c>
      <c r="Q87" s="57">
        <f>IF($A87="","",Setup!S27)</f>
        <v>169</v>
      </c>
      <c r="R87" s="57">
        <f t="shared" si="42"/>
        <v>11830</v>
      </c>
      <c r="S87" s="58">
        <f t="shared" si="43"/>
        <v>21648.260869565216</v>
      </c>
    </row>
    <row r="88" spans="1:19" ht="15" customHeight="1" x14ac:dyDescent="0.2">
      <c r="A88" s="43" t="str">
        <f>IF(Setup!B28="","",Setup!B28)</f>
        <v>Red Red Wine White tee</v>
      </c>
      <c r="B88" s="44" t="str">
        <f>IF($A88="","",Setup!C28)</f>
        <v>Apparel</v>
      </c>
      <c r="C88" s="45">
        <f>IF($A88="","",Setup!D28)</f>
        <v>550</v>
      </c>
      <c r="D88" s="46">
        <f>IF($A88="","",Setup!E28)</f>
        <v>0.3</v>
      </c>
      <c r="E88" s="45">
        <f t="shared" si="38"/>
        <v>57750</v>
      </c>
      <c r="F88" s="47">
        <f t="shared" si="39"/>
        <v>105</v>
      </c>
      <c r="G88" s="47">
        <f>IF(OR($A88="",F88=""),"",ROUND(F88*Setup!F28,0))</f>
        <v>0</v>
      </c>
      <c r="H88" s="47">
        <f>IF(OR($A88="",F88=""),"",ROUND(F88*Setup!G28,0))</f>
        <v>16</v>
      </c>
      <c r="I88" s="47">
        <f>IF(OR($A88="",F88=""),"",ROUND(F88*Setup!H28,0))</f>
        <v>26</v>
      </c>
      <c r="J88" s="47">
        <f>IF(OR($A88="",F88=""),"",ROUND(F88*Setup!I28,0))</f>
        <v>32</v>
      </c>
      <c r="K88" s="47">
        <f>IF(OR($A88="",F88=""),"",ROUND(F88*Setup!J28,0))</f>
        <v>19</v>
      </c>
      <c r="L88" s="47">
        <f>IF(OR($A88="",F88=""),"",ROUND(F88*Setup!K28,0))</f>
        <v>13</v>
      </c>
      <c r="M88" s="47">
        <f>IF(OR($A88="",F88=""),"",ROUND(F88*Setup!L28,0))</f>
        <v>0</v>
      </c>
      <c r="N88" s="45">
        <f t="shared" si="40"/>
        <v>57750</v>
      </c>
      <c r="O88" s="48">
        <f>IF(OR($A88="",N88=""),"",N88*Setup!$B$6/(1+Setup!$B$6))</f>
        <v>7532.6086956521749</v>
      </c>
      <c r="P88" s="45">
        <f t="shared" si="41"/>
        <v>50217.391304347824</v>
      </c>
      <c r="Q88" s="49">
        <f>IF($A88="","",Setup!S28)</f>
        <v>162</v>
      </c>
      <c r="R88" s="49">
        <f t="shared" si="42"/>
        <v>17010</v>
      </c>
      <c r="S88" s="50">
        <f t="shared" si="43"/>
        <v>33207.391304347824</v>
      </c>
    </row>
    <row r="89" spans="1:19" ht="15" customHeight="1" x14ac:dyDescent="0.2">
      <c r="A89" s="51" t="str">
        <f>IF(Setup!B29="","",Setup!B29)</f>
        <v>Cap</v>
      </c>
      <c r="B89" s="52" t="str">
        <f>IF($A89="","",Setup!C29)</f>
        <v>Accessory</v>
      </c>
      <c r="C89" s="53">
        <f>IF($A89="","",Setup!D29)</f>
        <v>350</v>
      </c>
      <c r="D89" s="54">
        <f>IF($A89="","",Setup!E29)</f>
        <v>0.13</v>
      </c>
      <c r="E89" s="53">
        <f t="shared" si="38"/>
        <v>25025</v>
      </c>
      <c r="F89" s="55">
        <f t="shared" si="39"/>
        <v>72</v>
      </c>
      <c r="G89" s="55">
        <f>IF(OR($A89="",F89=""),"",ROUND(F89*Setup!F29,0))</f>
        <v>0</v>
      </c>
      <c r="H89" s="55">
        <f>IF(OR($A89="",F89=""),"",ROUND(F89*Setup!G29,0))</f>
        <v>0</v>
      </c>
      <c r="I89" s="55">
        <f>IF(OR($A89="",F89=""),"",ROUND(F89*Setup!H29,0))</f>
        <v>0</v>
      </c>
      <c r="J89" s="55">
        <f>IF(OR($A89="",F89=""),"",ROUND(F89*Setup!I29,0))</f>
        <v>0</v>
      </c>
      <c r="K89" s="55">
        <f>IF(OR($A89="",F89=""),"",ROUND(F89*Setup!J29,0))</f>
        <v>0</v>
      </c>
      <c r="L89" s="55">
        <f>IF(OR($A89="",F89=""),"",ROUND(F89*Setup!K29,0))</f>
        <v>0</v>
      </c>
      <c r="M89" s="55">
        <f>IF(OR($A89="",F89=""),"",ROUND(F89*Setup!L29,0))</f>
        <v>0</v>
      </c>
      <c r="N89" s="53">
        <f t="shared" si="40"/>
        <v>25200</v>
      </c>
      <c r="O89" s="56">
        <f>IF(OR($A89="",N89=""),"",N89*Setup!$B$6/(1+Setup!$B$6))</f>
        <v>3286.9565217391305</v>
      </c>
      <c r="P89" s="53">
        <f t="shared" si="41"/>
        <v>21913.043478260868</v>
      </c>
      <c r="Q89" s="57">
        <f>IF($A89="","",Setup!S29)</f>
        <v>96</v>
      </c>
      <c r="R89" s="57">
        <f t="shared" si="42"/>
        <v>6912</v>
      </c>
      <c r="S89" s="58">
        <f t="shared" si="43"/>
        <v>15001.043478260868</v>
      </c>
    </row>
    <row r="90" spans="1:19" ht="15" customHeight="1" x14ac:dyDescent="0.2">
      <c r="A90" s="43" t="str">
        <f>IF(Setup!B30="","",Setup!B30)</f>
        <v>Tote</v>
      </c>
      <c r="B90" s="44" t="str">
        <f>IF($A90="","",Setup!C30)</f>
        <v>Accessory</v>
      </c>
      <c r="C90" s="45">
        <f>IF($A90="","",Setup!D30)</f>
        <v>100</v>
      </c>
      <c r="D90" s="46">
        <f>IF($A90="","",Setup!E30)</f>
        <v>7.0000000000000007E-2</v>
      </c>
      <c r="E90" s="45">
        <f t="shared" si="38"/>
        <v>13475.000000000002</v>
      </c>
      <c r="F90" s="47">
        <f t="shared" si="39"/>
        <v>135</v>
      </c>
      <c r="G90" s="47">
        <f>IF(OR($A90="",F90=""),"",ROUND(F90*Setup!F30,0))</f>
        <v>0</v>
      </c>
      <c r="H90" s="47">
        <f>IF(OR($A90="",F90=""),"",ROUND(F90*Setup!G30,0))</f>
        <v>0</v>
      </c>
      <c r="I90" s="47">
        <f>IF(OR($A90="",F90=""),"",ROUND(F90*Setup!H30,0))</f>
        <v>0</v>
      </c>
      <c r="J90" s="47">
        <f>IF(OR($A90="",F90=""),"",ROUND(F90*Setup!I30,0))</f>
        <v>0</v>
      </c>
      <c r="K90" s="47">
        <f>IF(OR($A90="",F90=""),"",ROUND(F90*Setup!J30,0))</f>
        <v>0</v>
      </c>
      <c r="L90" s="47">
        <f>IF(OR($A90="",F90=""),"",ROUND(F90*Setup!K30,0))</f>
        <v>0</v>
      </c>
      <c r="M90" s="47">
        <f>IF(OR($A90="",F90=""),"",ROUND(F90*Setup!L30,0))</f>
        <v>0</v>
      </c>
      <c r="N90" s="45">
        <f t="shared" si="40"/>
        <v>13500</v>
      </c>
      <c r="O90" s="48">
        <f>IF(OR($A90="",N90=""),"",N90*Setup!$B$6/(1+Setup!$B$6))</f>
        <v>1760.8695652173915</v>
      </c>
      <c r="P90" s="45">
        <f t="shared" si="41"/>
        <v>11739.130434782608</v>
      </c>
      <c r="Q90" s="49">
        <f>IF($A90="","",Setup!S30)</f>
        <v>50</v>
      </c>
      <c r="R90" s="49">
        <f t="shared" si="42"/>
        <v>6750</v>
      </c>
      <c r="S90" s="50">
        <f t="shared" si="43"/>
        <v>4989.1304347826081</v>
      </c>
    </row>
    <row r="91" spans="1:19" ht="15" customHeight="1" x14ac:dyDescent="0.2">
      <c r="A91" s="51" t="str">
        <f>IF(Setup!B31="","",Setup!B31)</f>
        <v/>
      </c>
      <c r="B91" s="52" t="str">
        <f>IF($A91="","",Setup!C31)</f>
        <v/>
      </c>
      <c r="C91" s="53" t="str">
        <f>IF($A91="","",Setup!D31)</f>
        <v/>
      </c>
      <c r="D91" s="54" t="str">
        <f>IF($A91="","",Setup!E31)</f>
        <v/>
      </c>
      <c r="E91" s="53" t="str">
        <f t="shared" si="38"/>
        <v/>
      </c>
      <c r="F91" s="55" t="str">
        <f t="shared" si="39"/>
        <v/>
      </c>
      <c r="G91" s="55" t="str">
        <f>IF(OR($A91="",F91=""),"",ROUND(F91*Setup!F31,0))</f>
        <v/>
      </c>
      <c r="H91" s="55" t="str">
        <f>IF(OR($A91="",F91=""),"",ROUND(F91*Setup!G31,0))</f>
        <v/>
      </c>
      <c r="I91" s="55" t="str">
        <f>IF(OR($A91="",F91=""),"",ROUND(F91*Setup!H31,0))</f>
        <v/>
      </c>
      <c r="J91" s="55" t="str">
        <f>IF(OR($A91="",F91=""),"",ROUND(F91*Setup!I31,0))</f>
        <v/>
      </c>
      <c r="K91" s="55" t="str">
        <f>IF(OR($A91="",F91=""),"",ROUND(F91*Setup!J31,0))</f>
        <v/>
      </c>
      <c r="L91" s="55" t="str">
        <f>IF(OR($A91="",F91=""),"",ROUND(F91*Setup!K31,0))</f>
        <v/>
      </c>
      <c r="M91" s="55" t="str">
        <f>IF(OR($A91="",F91=""),"",ROUND(F91*Setup!L31,0))</f>
        <v/>
      </c>
      <c r="N91" s="53" t="str">
        <f t="shared" si="40"/>
        <v/>
      </c>
      <c r="O91" s="56" t="str">
        <f>IF(OR($A91="",N91=""),"",N91*Setup!$B$6/(1+Setup!$B$6))</f>
        <v/>
      </c>
      <c r="P91" s="53" t="str">
        <f t="shared" si="41"/>
        <v/>
      </c>
      <c r="Q91" s="57" t="str">
        <f>IF($A91="","",Setup!S31)</f>
        <v/>
      </c>
      <c r="R91" s="57" t="str">
        <f t="shared" si="42"/>
        <v/>
      </c>
      <c r="S91" s="58" t="str">
        <f t="shared" si="43"/>
        <v/>
      </c>
    </row>
    <row r="92" spans="1:19" ht="15" hidden="1" customHeight="1" x14ac:dyDescent="0.2">
      <c r="A92" s="43" t="str">
        <f>IF(Setup!B32="","",Setup!B32)</f>
        <v/>
      </c>
      <c r="B92" s="44" t="str">
        <f>IF($A92="","",Setup!C32)</f>
        <v/>
      </c>
      <c r="C92" s="45" t="str">
        <f>IF($A92="","",Setup!D32)</f>
        <v/>
      </c>
      <c r="D92" s="46" t="str">
        <f>IF($A92="","",Setup!E32)</f>
        <v/>
      </c>
      <c r="E92" s="45" t="str">
        <f t="shared" si="38"/>
        <v/>
      </c>
      <c r="F92" s="47" t="str">
        <f t="shared" si="39"/>
        <v/>
      </c>
      <c r="G92" s="47" t="str">
        <f>IF(OR($A92="",F92=""),"",ROUND(F92*Setup!F32,0))</f>
        <v/>
      </c>
      <c r="H92" s="47" t="str">
        <f>IF(OR($A92="",F92=""),"",ROUND(F92*Setup!G32,0))</f>
        <v/>
      </c>
      <c r="I92" s="47" t="str">
        <f>IF(OR($A92="",F92=""),"",ROUND(F92*Setup!H32,0))</f>
        <v/>
      </c>
      <c r="J92" s="47" t="str">
        <f>IF(OR($A92="",F92=""),"",ROUND(F92*Setup!I32,0))</f>
        <v/>
      </c>
      <c r="K92" s="47" t="str">
        <f>IF(OR($A92="",F92=""),"",ROUND(F92*Setup!J32,0))</f>
        <v/>
      </c>
      <c r="L92" s="47" t="str">
        <f>IF(OR($A92="",F92=""),"",ROUND(F92*Setup!K32,0))</f>
        <v/>
      </c>
      <c r="M92" s="47" t="str">
        <f>IF(OR($A92="",F92=""),"",ROUND(F92*Setup!L32,0))</f>
        <v/>
      </c>
      <c r="N92" s="45" t="str">
        <f t="shared" si="40"/>
        <v/>
      </c>
      <c r="O92" s="48" t="str">
        <f>IF(OR($A92="",N92=""),"",N92*Setup!$B$6/(1+Setup!$B$6))</f>
        <v/>
      </c>
      <c r="P92" s="45" t="str">
        <f t="shared" si="41"/>
        <v/>
      </c>
      <c r="Q92" s="49" t="str">
        <f>IF($A92="","",Setup!S32)</f>
        <v/>
      </c>
      <c r="R92" s="49" t="str">
        <f t="shared" si="42"/>
        <v/>
      </c>
      <c r="S92" s="50" t="str">
        <f t="shared" si="43"/>
        <v/>
      </c>
    </row>
    <row r="93" spans="1:19" ht="15" hidden="1" customHeight="1" x14ac:dyDescent="0.2">
      <c r="A93" s="51" t="str">
        <f>IF(Setup!B33="","",Setup!B33)</f>
        <v/>
      </c>
      <c r="B93" s="52" t="str">
        <f>IF($A93="","",Setup!C33)</f>
        <v/>
      </c>
      <c r="C93" s="53" t="str">
        <f>IF($A93="","",Setup!D33)</f>
        <v/>
      </c>
      <c r="D93" s="54" t="str">
        <f>IF($A93="","",Setup!E33)</f>
        <v/>
      </c>
      <c r="E93" s="53" t="str">
        <f t="shared" si="38"/>
        <v/>
      </c>
      <c r="F93" s="55" t="str">
        <f t="shared" si="39"/>
        <v/>
      </c>
      <c r="G93" s="55" t="str">
        <f>IF(OR($A93="",F93=""),"",ROUND(F93*Setup!F33,0))</f>
        <v/>
      </c>
      <c r="H93" s="55" t="str">
        <f>IF(OR($A93="",F93=""),"",ROUND(F93*Setup!G33,0))</f>
        <v/>
      </c>
      <c r="I93" s="55" t="str">
        <f>IF(OR($A93="",F93=""),"",ROUND(F93*Setup!H33,0))</f>
        <v/>
      </c>
      <c r="J93" s="55" t="str">
        <f>IF(OR($A93="",F93=""),"",ROUND(F93*Setup!I33,0))</f>
        <v/>
      </c>
      <c r="K93" s="55" t="str">
        <f>IF(OR($A93="",F93=""),"",ROUND(F93*Setup!J33,0))</f>
        <v/>
      </c>
      <c r="L93" s="55" t="str">
        <f>IF(OR($A93="",F93=""),"",ROUND(F93*Setup!K33,0))</f>
        <v/>
      </c>
      <c r="M93" s="55" t="str">
        <f>IF(OR($A93="",F93=""),"",ROUND(F93*Setup!L33,0))</f>
        <v/>
      </c>
      <c r="N93" s="53" t="str">
        <f t="shared" si="40"/>
        <v/>
      </c>
      <c r="O93" s="56" t="str">
        <f>IF(OR($A93="",N93=""),"",N93*Setup!$B$6/(1+Setup!$B$6))</f>
        <v/>
      </c>
      <c r="P93" s="53" t="str">
        <f t="shared" si="41"/>
        <v/>
      </c>
      <c r="Q93" s="57" t="str">
        <f>IF($A93="","",Setup!S33)</f>
        <v/>
      </c>
      <c r="R93" s="57" t="str">
        <f t="shared" si="42"/>
        <v/>
      </c>
      <c r="S93" s="58" t="str">
        <f t="shared" si="43"/>
        <v/>
      </c>
    </row>
    <row r="94" spans="1:19" ht="15" hidden="1" customHeight="1" x14ac:dyDescent="0.2">
      <c r="A94" s="43" t="str">
        <f>IF(Setup!B34="","",Setup!B34)</f>
        <v/>
      </c>
      <c r="B94" s="44" t="str">
        <f>IF($A94="","",Setup!C34)</f>
        <v/>
      </c>
      <c r="C94" s="45" t="str">
        <f>IF($A94="","",Setup!D34)</f>
        <v/>
      </c>
      <c r="D94" s="46" t="str">
        <f>IF($A94="","",Setup!E34)</f>
        <v/>
      </c>
      <c r="E94" s="45" t="str">
        <f t="shared" si="38"/>
        <v/>
      </c>
      <c r="F94" s="47" t="str">
        <f t="shared" si="39"/>
        <v/>
      </c>
      <c r="G94" s="47" t="str">
        <f>IF(OR($A94="",F94=""),"",ROUND(F94*Setup!F34,0))</f>
        <v/>
      </c>
      <c r="H94" s="47" t="str">
        <f>IF(OR($A94="",F94=""),"",ROUND(F94*Setup!G34,0))</f>
        <v/>
      </c>
      <c r="I94" s="47" t="str">
        <f>IF(OR($A94="",F94=""),"",ROUND(F94*Setup!H34,0))</f>
        <v/>
      </c>
      <c r="J94" s="47" t="str">
        <f>IF(OR($A94="",F94=""),"",ROUND(F94*Setup!I34,0))</f>
        <v/>
      </c>
      <c r="K94" s="47" t="str">
        <f>IF(OR($A94="",F94=""),"",ROUND(F94*Setup!J34,0))</f>
        <v/>
      </c>
      <c r="L94" s="47" t="str">
        <f>IF(OR($A94="",F94=""),"",ROUND(F94*Setup!K34,0))</f>
        <v/>
      </c>
      <c r="M94" s="47" t="str">
        <f>IF(OR($A94="",F94=""),"",ROUND(F94*Setup!L34,0))</f>
        <v/>
      </c>
      <c r="N94" s="45" t="str">
        <f t="shared" si="40"/>
        <v/>
      </c>
      <c r="O94" s="48" t="str">
        <f>IF(OR($A94="",N94=""),"",N94*Setup!$B$6/(1+Setup!$B$6))</f>
        <v/>
      </c>
      <c r="P94" s="45" t="str">
        <f t="shared" si="41"/>
        <v/>
      </c>
      <c r="Q94" s="49" t="str">
        <f>IF($A94="","",Setup!S34)</f>
        <v/>
      </c>
      <c r="R94" s="49" t="str">
        <f t="shared" si="42"/>
        <v/>
      </c>
      <c r="S94" s="50" t="str">
        <f t="shared" si="43"/>
        <v/>
      </c>
    </row>
    <row r="95" spans="1:19" ht="15" hidden="1" customHeight="1" x14ac:dyDescent="0.2">
      <c r="A95" s="51" t="str">
        <f>IF(Setup!B35="","",Setup!B35)</f>
        <v/>
      </c>
      <c r="B95" s="52" t="str">
        <f>IF($A95="","",Setup!C35)</f>
        <v/>
      </c>
      <c r="C95" s="53" t="str">
        <f>IF($A95="","",Setup!D35)</f>
        <v/>
      </c>
      <c r="D95" s="54" t="str">
        <f>IF($A95="","",Setup!E35)</f>
        <v/>
      </c>
      <c r="E95" s="53" t="str">
        <f t="shared" si="38"/>
        <v/>
      </c>
      <c r="F95" s="55" t="str">
        <f t="shared" si="39"/>
        <v/>
      </c>
      <c r="G95" s="55" t="str">
        <f>IF(OR($A95="",F95=""),"",ROUND(F95*Setup!F35,0))</f>
        <v/>
      </c>
      <c r="H95" s="55" t="str">
        <f>IF(OR($A95="",F95=""),"",ROUND(F95*Setup!G35,0))</f>
        <v/>
      </c>
      <c r="I95" s="55" t="str">
        <f>IF(OR($A95="",F95=""),"",ROUND(F95*Setup!H35,0))</f>
        <v/>
      </c>
      <c r="J95" s="55" t="str">
        <f>IF(OR($A95="",F95=""),"",ROUND(F95*Setup!I35,0))</f>
        <v/>
      </c>
      <c r="K95" s="55" t="str">
        <f>IF(OR($A95="",F95=""),"",ROUND(F95*Setup!J35,0))</f>
        <v/>
      </c>
      <c r="L95" s="55" t="str">
        <f>IF(OR($A95="",F95=""),"",ROUND(F95*Setup!K35,0))</f>
        <v/>
      </c>
      <c r="M95" s="55" t="str">
        <f>IF(OR($A95="",F95=""),"",ROUND(F95*Setup!L35,0))</f>
        <v/>
      </c>
      <c r="N95" s="53" t="str">
        <f t="shared" si="40"/>
        <v/>
      </c>
      <c r="O95" s="56" t="str">
        <f>IF(OR($A95="",N95=""),"",N95*Setup!$B$6/(1+Setup!$B$6))</f>
        <v/>
      </c>
      <c r="P95" s="53" t="str">
        <f t="shared" si="41"/>
        <v/>
      </c>
      <c r="Q95" s="57" t="str">
        <f>IF($A95="","",Setup!S35)</f>
        <v/>
      </c>
      <c r="R95" s="57" t="str">
        <f t="shared" si="42"/>
        <v/>
      </c>
      <c r="S95" s="58" t="str">
        <f t="shared" si="43"/>
        <v/>
      </c>
    </row>
    <row r="96" spans="1:19" ht="15" hidden="1" customHeight="1" x14ac:dyDescent="0.2">
      <c r="A96" s="43" t="str">
        <f>IF(Setup!B36="","",Setup!B36)</f>
        <v/>
      </c>
      <c r="B96" s="44" t="str">
        <f>IF($A96="","",Setup!C36)</f>
        <v/>
      </c>
      <c r="C96" s="45" t="str">
        <f>IF($A96="","",Setup!D36)</f>
        <v/>
      </c>
      <c r="D96" s="46" t="str">
        <f>IF($A96="","",Setup!E36)</f>
        <v/>
      </c>
      <c r="E96" s="45" t="str">
        <f t="shared" si="38"/>
        <v/>
      </c>
      <c r="F96" s="47" t="str">
        <f t="shared" si="39"/>
        <v/>
      </c>
      <c r="G96" s="47" t="str">
        <f>IF(OR($A96="",F96=""),"",ROUND(F96*Setup!F36,0))</f>
        <v/>
      </c>
      <c r="H96" s="47" t="str">
        <f>IF(OR($A96="",F96=""),"",ROUND(F96*Setup!G36,0))</f>
        <v/>
      </c>
      <c r="I96" s="47" t="str">
        <f>IF(OR($A96="",F96=""),"",ROUND(F96*Setup!H36,0))</f>
        <v/>
      </c>
      <c r="J96" s="47" t="str">
        <f>IF(OR($A96="",F96=""),"",ROUND(F96*Setup!I36,0))</f>
        <v/>
      </c>
      <c r="K96" s="47" t="str">
        <f>IF(OR($A96="",F96=""),"",ROUND(F96*Setup!J36,0))</f>
        <v/>
      </c>
      <c r="L96" s="47" t="str">
        <f>IF(OR($A96="",F96=""),"",ROUND(F96*Setup!K36,0))</f>
        <v/>
      </c>
      <c r="M96" s="47" t="str">
        <f>IF(OR($A96="",F96=""),"",ROUND(F96*Setup!L36,0))</f>
        <v/>
      </c>
      <c r="N96" s="45" t="str">
        <f t="shared" si="40"/>
        <v/>
      </c>
      <c r="O96" s="48" t="str">
        <f>IF(OR($A96="",N96=""),"",N96*Setup!$B$6/(1+Setup!$B$6))</f>
        <v/>
      </c>
      <c r="P96" s="45" t="str">
        <f t="shared" si="41"/>
        <v/>
      </c>
      <c r="Q96" s="49" t="str">
        <f>IF($A96="","",Setup!S36)</f>
        <v/>
      </c>
      <c r="R96" s="49" t="str">
        <f t="shared" si="42"/>
        <v/>
      </c>
      <c r="S96" s="50" t="str">
        <f t="shared" si="43"/>
        <v/>
      </c>
    </row>
    <row r="97" spans="1:19" ht="15" hidden="1" customHeight="1" x14ac:dyDescent="0.2">
      <c r="A97" s="51" t="str">
        <f>IF(Setup!B37="","",Setup!B37)</f>
        <v/>
      </c>
      <c r="B97" s="52" t="str">
        <f>IF($A97="","",Setup!C37)</f>
        <v/>
      </c>
      <c r="C97" s="53" t="str">
        <f>IF($A97="","",Setup!D37)</f>
        <v/>
      </c>
      <c r="D97" s="54" t="str">
        <f>IF($A97="","",Setup!E37)</f>
        <v/>
      </c>
      <c r="E97" s="53" t="str">
        <f t="shared" si="38"/>
        <v/>
      </c>
      <c r="F97" s="55" t="str">
        <f t="shared" si="39"/>
        <v/>
      </c>
      <c r="G97" s="55" t="str">
        <f>IF(OR($A97="",F97=""),"",ROUND(F97*Setup!F37,0))</f>
        <v/>
      </c>
      <c r="H97" s="55" t="str">
        <f>IF(OR($A97="",F97=""),"",ROUND(F97*Setup!G37,0))</f>
        <v/>
      </c>
      <c r="I97" s="55" t="str">
        <f>IF(OR($A97="",F97=""),"",ROUND(F97*Setup!H37,0))</f>
        <v/>
      </c>
      <c r="J97" s="55" t="str">
        <f>IF(OR($A97="",F97=""),"",ROUND(F97*Setup!I37,0))</f>
        <v/>
      </c>
      <c r="K97" s="55" t="str">
        <f>IF(OR($A97="",F97=""),"",ROUND(F97*Setup!J37,0))</f>
        <v/>
      </c>
      <c r="L97" s="55" t="str">
        <f>IF(OR($A97="",F97=""),"",ROUND(F97*Setup!K37,0))</f>
        <v/>
      </c>
      <c r="M97" s="55" t="str">
        <f>IF(OR($A97="",F97=""),"",ROUND(F97*Setup!L37,0))</f>
        <v/>
      </c>
      <c r="N97" s="53" t="str">
        <f t="shared" si="40"/>
        <v/>
      </c>
      <c r="O97" s="56" t="str">
        <f>IF(OR($A97="",N97=""),"",N97*Setup!$B$6/(1+Setup!$B$6))</f>
        <v/>
      </c>
      <c r="P97" s="53" t="str">
        <f t="shared" si="41"/>
        <v/>
      </c>
      <c r="Q97" s="57" t="str">
        <f>IF($A97="","",Setup!S37)</f>
        <v/>
      </c>
      <c r="R97" s="57" t="str">
        <f t="shared" si="42"/>
        <v/>
      </c>
      <c r="S97" s="58" t="str">
        <f t="shared" si="43"/>
        <v/>
      </c>
    </row>
    <row r="98" spans="1:19" ht="15" hidden="1" customHeight="1" x14ac:dyDescent="0.2">
      <c r="A98" s="43" t="str">
        <f>IF(Setup!B38="","",Setup!B38)</f>
        <v/>
      </c>
      <c r="B98" s="44" t="str">
        <f>IF($A98="","",Setup!C38)</f>
        <v/>
      </c>
      <c r="C98" s="45" t="str">
        <f>IF($A98="","",Setup!D38)</f>
        <v/>
      </c>
      <c r="D98" s="46" t="str">
        <f>IF($A98="","",Setup!E38)</f>
        <v/>
      </c>
      <c r="E98" s="45" t="str">
        <f t="shared" si="38"/>
        <v/>
      </c>
      <c r="F98" s="47" t="str">
        <f t="shared" si="39"/>
        <v/>
      </c>
      <c r="G98" s="47" t="str">
        <f>IF(OR($A98="",F98=""),"",ROUND(F98*Setup!F38,0))</f>
        <v/>
      </c>
      <c r="H98" s="47" t="str">
        <f>IF(OR($A98="",F98=""),"",ROUND(F98*Setup!G38,0))</f>
        <v/>
      </c>
      <c r="I98" s="47" t="str">
        <f>IF(OR($A98="",F98=""),"",ROUND(F98*Setup!H38,0))</f>
        <v/>
      </c>
      <c r="J98" s="47" t="str">
        <f>IF(OR($A98="",F98=""),"",ROUND(F98*Setup!I38,0))</f>
        <v/>
      </c>
      <c r="K98" s="47" t="str">
        <f>IF(OR($A98="",F98=""),"",ROUND(F98*Setup!J38,0))</f>
        <v/>
      </c>
      <c r="L98" s="47" t="str">
        <f>IF(OR($A98="",F98=""),"",ROUND(F98*Setup!K38,0))</f>
        <v/>
      </c>
      <c r="M98" s="47" t="str">
        <f>IF(OR($A98="",F98=""),"",ROUND(F98*Setup!L38,0))</f>
        <v/>
      </c>
      <c r="N98" s="45" t="str">
        <f t="shared" si="40"/>
        <v/>
      </c>
      <c r="O98" s="48" t="str">
        <f>IF(OR($A98="",N98=""),"",N98*Setup!$B$6/(1+Setup!$B$6))</f>
        <v/>
      </c>
      <c r="P98" s="45" t="str">
        <f t="shared" si="41"/>
        <v/>
      </c>
      <c r="Q98" s="49" t="str">
        <f>IF($A98="","",Setup!S38)</f>
        <v/>
      </c>
      <c r="R98" s="49" t="str">
        <f t="shared" si="42"/>
        <v/>
      </c>
      <c r="S98" s="50" t="str">
        <f t="shared" si="43"/>
        <v/>
      </c>
    </row>
    <row r="99" spans="1:19" ht="15" hidden="1" customHeight="1" x14ac:dyDescent="0.2">
      <c r="A99" s="51" t="str">
        <f>IF(Setup!B39="","",Setup!B39)</f>
        <v/>
      </c>
      <c r="B99" s="52" t="str">
        <f>IF($A99="","",Setup!C39)</f>
        <v/>
      </c>
      <c r="C99" s="53" t="str">
        <f>IF($A99="","",Setup!D39)</f>
        <v/>
      </c>
      <c r="D99" s="54" t="str">
        <f>IF($A99="","",Setup!E39)</f>
        <v/>
      </c>
      <c r="E99" s="53" t="str">
        <f t="shared" si="38"/>
        <v/>
      </c>
      <c r="F99" s="55" t="str">
        <f t="shared" si="39"/>
        <v/>
      </c>
      <c r="G99" s="55" t="str">
        <f>IF(OR($A99="",F99=""),"",ROUND(F99*Setup!F39,0))</f>
        <v/>
      </c>
      <c r="H99" s="55" t="str">
        <f>IF(OR($A99="",F99=""),"",ROUND(F99*Setup!G39,0))</f>
        <v/>
      </c>
      <c r="I99" s="55" t="str">
        <f>IF(OR($A99="",F99=""),"",ROUND(F99*Setup!H39,0))</f>
        <v/>
      </c>
      <c r="J99" s="55" t="str">
        <f>IF(OR($A99="",F99=""),"",ROUND(F99*Setup!I39,0))</f>
        <v/>
      </c>
      <c r="K99" s="55" t="str">
        <f>IF(OR($A99="",F99=""),"",ROUND(F99*Setup!J39,0))</f>
        <v/>
      </c>
      <c r="L99" s="55" t="str">
        <f>IF(OR($A99="",F99=""),"",ROUND(F99*Setup!K39,0))</f>
        <v/>
      </c>
      <c r="M99" s="55" t="str">
        <f>IF(OR($A99="",F99=""),"",ROUND(F99*Setup!L39,0))</f>
        <v/>
      </c>
      <c r="N99" s="53" t="str">
        <f t="shared" si="40"/>
        <v/>
      </c>
      <c r="O99" s="56" t="str">
        <f>IF(OR($A99="",N99=""),"",N99*Setup!$B$6/(1+Setup!$B$6))</f>
        <v/>
      </c>
      <c r="P99" s="53" t="str">
        <f t="shared" si="41"/>
        <v/>
      </c>
      <c r="Q99" s="57" t="str">
        <f>IF($A99="","",Setup!S39)</f>
        <v/>
      </c>
      <c r="R99" s="57" t="str">
        <f t="shared" si="42"/>
        <v/>
      </c>
      <c r="S99" s="58" t="str">
        <f t="shared" si="43"/>
        <v/>
      </c>
    </row>
    <row r="100" spans="1:19" ht="15" hidden="1" customHeight="1" x14ac:dyDescent="0.2">
      <c r="A100" s="43" t="str">
        <f>IF(Setup!B40="","",Setup!B40)</f>
        <v/>
      </c>
      <c r="B100" s="44" t="str">
        <f>IF($A100="","",Setup!C40)</f>
        <v/>
      </c>
      <c r="C100" s="45" t="str">
        <f>IF($A100="","",Setup!D40)</f>
        <v/>
      </c>
      <c r="D100" s="46" t="str">
        <f>IF($A100="","",Setup!E40)</f>
        <v/>
      </c>
      <c r="E100" s="45" t="str">
        <f t="shared" si="38"/>
        <v/>
      </c>
      <c r="F100" s="47" t="str">
        <f t="shared" si="39"/>
        <v/>
      </c>
      <c r="G100" s="47" t="str">
        <f>IF(OR($A100="",F100=""),"",ROUND(F100*Setup!F40,0))</f>
        <v/>
      </c>
      <c r="H100" s="47" t="str">
        <f>IF(OR($A100="",F100=""),"",ROUND(F100*Setup!G40,0))</f>
        <v/>
      </c>
      <c r="I100" s="47" t="str">
        <f>IF(OR($A100="",F100=""),"",ROUND(F100*Setup!H40,0))</f>
        <v/>
      </c>
      <c r="J100" s="47" t="str">
        <f>IF(OR($A100="",F100=""),"",ROUND(F100*Setup!I40,0))</f>
        <v/>
      </c>
      <c r="K100" s="47" t="str">
        <f>IF(OR($A100="",F100=""),"",ROUND(F100*Setup!J40,0))</f>
        <v/>
      </c>
      <c r="L100" s="47" t="str">
        <f>IF(OR($A100="",F100=""),"",ROUND(F100*Setup!K40,0))</f>
        <v/>
      </c>
      <c r="M100" s="47" t="str">
        <f>IF(OR($A100="",F100=""),"",ROUND(F100*Setup!L40,0))</f>
        <v/>
      </c>
      <c r="N100" s="45" t="str">
        <f t="shared" si="40"/>
        <v/>
      </c>
      <c r="O100" s="48" t="str">
        <f>IF(OR($A100="",N100=""),"",N100*Setup!$B$6/(1+Setup!$B$6))</f>
        <v/>
      </c>
      <c r="P100" s="45" t="str">
        <f t="shared" si="41"/>
        <v/>
      </c>
      <c r="Q100" s="49" t="str">
        <f>IF($A100="","",Setup!S40)</f>
        <v/>
      </c>
      <c r="R100" s="49" t="str">
        <f t="shared" si="42"/>
        <v/>
      </c>
      <c r="S100" s="50" t="str">
        <f t="shared" si="43"/>
        <v/>
      </c>
    </row>
    <row r="101" spans="1:19" ht="15" customHeight="1" x14ac:dyDescent="0.2">
      <c r="A101" s="59" t="s">
        <v>100</v>
      </c>
      <c r="B101" s="26"/>
      <c r="C101" s="26"/>
      <c r="D101" s="26"/>
      <c r="E101" s="26">
        <f t="shared" ref="E101:P101" si="44">SUM(E86:E100)</f>
        <v>192500</v>
      </c>
      <c r="F101" s="25">
        <f t="shared" si="44"/>
        <v>487</v>
      </c>
      <c r="G101" s="25">
        <f t="shared" si="44"/>
        <v>0</v>
      </c>
      <c r="H101" s="25">
        <f t="shared" si="44"/>
        <v>43</v>
      </c>
      <c r="I101" s="25">
        <f t="shared" si="44"/>
        <v>70</v>
      </c>
      <c r="J101" s="25">
        <f t="shared" si="44"/>
        <v>85</v>
      </c>
      <c r="K101" s="25">
        <f t="shared" si="44"/>
        <v>51</v>
      </c>
      <c r="L101" s="25">
        <f t="shared" si="44"/>
        <v>34</v>
      </c>
      <c r="M101" s="25">
        <f t="shared" si="44"/>
        <v>0</v>
      </c>
      <c r="N101" s="26">
        <f t="shared" si="44"/>
        <v>192700</v>
      </c>
      <c r="O101" s="26">
        <f t="shared" si="44"/>
        <v>25134.782608695656</v>
      </c>
      <c r="P101" s="26">
        <f t="shared" si="44"/>
        <v>167565.21739130432</v>
      </c>
      <c r="Q101" s="26"/>
      <c r="R101" s="26">
        <f>SUM(R86:R100)</f>
        <v>60247</v>
      </c>
      <c r="S101" s="26">
        <f>SUM(S86:S100)</f>
        <v>107318.21739130434</v>
      </c>
    </row>
    <row r="104" spans="1:19" ht="15.75" customHeight="1" x14ac:dyDescent="0.2">
      <c r="A104" s="95" t="str">
        <f>IF(Setup!C13="","Event 5: Not configured",UPPER(Setup!C13&amp;" - "&amp;Setup!D13&amp;" | "&amp;TEXT(Setup!B13,"DD MMM YYYY")))</f>
        <v>Event 5: Not configured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4" t="s">
        <v>93</v>
      </c>
      <c r="O104" s="93"/>
      <c r="P104" s="93"/>
      <c r="Q104" s="92" t="str">
        <f>Setup!I13</f>
        <v/>
      </c>
      <c r="R104" s="93"/>
      <c r="S104" s="93"/>
    </row>
    <row r="105" spans="1:19" ht="15" customHeight="1" x14ac:dyDescent="0.2">
      <c r="A105" s="60" t="s">
        <v>94</v>
      </c>
      <c r="B105" s="61">
        <f>Setup!F13</f>
        <v>0</v>
      </c>
      <c r="C105" s="62"/>
      <c r="D105" s="60" t="s">
        <v>95</v>
      </c>
      <c r="E105" s="61">
        <f>Setup!G13</f>
        <v>0</v>
      </c>
      <c r="F105" s="62"/>
      <c r="G105" s="60" t="s">
        <v>96</v>
      </c>
      <c r="H105" s="63">
        <f>Setup!H13</f>
        <v>0</v>
      </c>
      <c r="I105" s="62"/>
      <c r="J105" s="60" t="s">
        <v>13</v>
      </c>
      <c r="K105" s="64">
        <f>Setup!B6</f>
        <v>0.15</v>
      </c>
      <c r="L105" s="62"/>
      <c r="M105" s="60" t="s">
        <v>97</v>
      </c>
      <c r="N105" s="63">
        <f>Setup!J13</f>
        <v>0</v>
      </c>
      <c r="O105" s="62"/>
      <c r="P105" s="60" t="s">
        <v>98</v>
      </c>
      <c r="Q105" s="63">
        <f>Setup!L13</f>
        <v>0</v>
      </c>
      <c r="R105" s="60" t="s">
        <v>99</v>
      </c>
      <c r="S105" s="64">
        <f>Setup!M13</f>
        <v>0</v>
      </c>
    </row>
    <row r="106" spans="1:19" ht="25.5" customHeight="1" x14ac:dyDescent="0.2">
      <c r="A106" s="28" t="s">
        <v>74</v>
      </c>
      <c r="B106" s="28" t="s">
        <v>49</v>
      </c>
      <c r="C106" s="28" t="s">
        <v>75</v>
      </c>
      <c r="D106" s="28" t="s">
        <v>76</v>
      </c>
      <c r="E106" s="28" t="s">
        <v>77</v>
      </c>
      <c r="F106" s="28" t="s">
        <v>78</v>
      </c>
      <c r="G106" s="28" t="s">
        <v>79</v>
      </c>
      <c r="H106" s="28" t="s">
        <v>80</v>
      </c>
      <c r="I106" s="28" t="s">
        <v>81</v>
      </c>
      <c r="J106" s="28" t="s">
        <v>82</v>
      </c>
      <c r="K106" s="28" t="s">
        <v>83</v>
      </c>
      <c r="L106" s="28" t="s">
        <v>84</v>
      </c>
      <c r="M106" s="28" t="s">
        <v>85</v>
      </c>
      <c r="N106" s="28" t="s">
        <v>86</v>
      </c>
      <c r="O106" s="41" t="s">
        <v>87</v>
      </c>
      <c r="P106" s="42" t="s">
        <v>88</v>
      </c>
      <c r="Q106" s="29" t="s">
        <v>89</v>
      </c>
      <c r="R106" s="29" t="s">
        <v>90</v>
      </c>
      <c r="S106" s="29" t="s">
        <v>91</v>
      </c>
    </row>
    <row r="107" spans="1:19" ht="15" customHeight="1" x14ac:dyDescent="0.2">
      <c r="A107" s="43" t="str">
        <f>IF(Setup!B26="","",Setup!B26)</f>
        <v>Sing Song Black tee</v>
      </c>
      <c r="B107" s="44" t="str">
        <f>IF($A107="","",Setup!C26)</f>
        <v>Apparel</v>
      </c>
      <c r="C107" s="45">
        <f>IF($A107="","",Setup!D26)</f>
        <v>550</v>
      </c>
      <c r="D107" s="46">
        <f>IF($A107="","",Setup!E26)</f>
        <v>0.3</v>
      </c>
      <c r="E107" s="45" t="str">
        <f t="shared" ref="E107:E121" si="45">IF(OR($A107="",$Q$104=""),"",$Q$104*D107)</f>
        <v/>
      </c>
      <c r="F107" s="47" t="str">
        <f t="shared" ref="F107:F121" si="46">IF(OR($A107="",C107=0,E107=""),"",ROUNDUP(E107/C107,0))</f>
        <v/>
      </c>
      <c r="G107" s="47" t="str">
        <f>IF(OR($A107="",F107=""),"",ROUND(F107*Setup!F26,0))</f>
        <v/>
      </c>
      <c r="H107" s="47" t="str">
        <f>IF(OR($A107="",F107=""),"",ROUND(F107*Setup!G26,0))</f>
        <v/>
      </c>
      <c r="I107" s="47" t="str">
        <f>IF(OR($A107="",F107=""),"",ROUND(F107*Setup!H26,0))</f>
        <v/>
      </c>
      <c r="J107" s="47" t="str">
        <f>IF(OR($A107="",F107=""),"",ROUND(F107*Setup!I26,0))</f>
        <v/>
      </c>
      <c r="K107" s="47" t="str">
        <f>IF(OR($A107="",F107=""),"",ROUND(F107*Setup!J26,0))</f>
        <v/>
      </c>
      <c r="L107" s="47" t="str">
        <f>IF(OR($A107="",F107=""),"",ROUND(F107*Setup!K26,0))</f>
        <v/>
      </c>
      <c r="M107" s="47" t="str">
        <f>IF(OR($A107="",F107=""),"",ROUND(F107*Setup!L26,0))</f>
        <v/>
      </c>
      <c r="N107" s="45" t="str">
        <f t="shared" ref="N107:N121" si="47">IF(OR($A107="",F107=""),"",F107*C107)</f>
        <v/>
      </c>
      <c r="O107" s="48" t="str">
        <f>IF(OR($A107="",N107=""),"",N107*Setup!$B$6/(1+Setup!$B$6))</f>
        <v/>
      </c>
      <c r="P107" s="45" t="str">
        <f t="shared" ref="P107:P121" si="48">IF(OR($A107="",N107=""),"",N107-O107)</f>
        <v/>
      </c>
      <c r="Q107" s="49">
        <f>IF($A107="","",Setup!S26)</f>
        <v>169</v>
      </c>
      <c r="R107" s="49" t="str">
        <f t="shared" ref="R107:R121" si="49">IF(OR($A107="",F107="",Q107=""),"",F107*Q107)</f>
        <v/>
      </c>
      <c r="S107" s="50" t="str">
        <f t="shared" ref="S107:S121" si="50">IF(OR($A107="",P107="",R107=""),"",P107-R107)</f>
        <v/>
      </c>
    </row>
    <row r="108" spans="1:19" ht="15" customHeight="1" x14ac:dyDescent="0.2">
      <c r="A108" s="51" t="str">
        <f>IF(Setup!B27="","",Setup!B27)</f>
        <v>Kingston Black Tee</v>
      </c>
      <c r="B108" s="52" t="str">
        <f>IF($A108="","",Setup!C27)</f>
        <v>Apparel</v>
      </c>
      <c r="C108" s="53">
        <f>IF($A108="","",Setup!D27)</f>
        <v>550</v>
      </c>
      <c r="D108" s="54">
        <f>IF($A108="","",Setup!E27)</f>
        <v>0.2</v>
      </c>
      <c r="E108" s="53" t="str">
        <f t="shared" si="45"/>
        <v/>
      </c>
      <c r="F108" s="55" t="str">
        <f t="shared" si="46"/>
        <v/>
      </c>
      <c r="G108" s="55" t="str">
        <f>IF(OR($A108="",F108=""),"",ROUND(F108*Setup!F27,0))</f>
        <v/>
      </c>
      <c r="H108" s="55" t="str">
        <f>IF(OR($A108="",F108=""),"",ROUND(F108*Setup!G27,0))</f>
        <v/>
      </c>
      <c r="I108" s="55" t="str">
        <f>IF(OR($A108="",F108=""),"",ROUND(F108*Setup!H27,0))</f>
        <v/>
      </c>
      <c r="J108" s="55" t="str">
        <f>IF(OR($A108="",F108=""),"",ROUND(F108*Setup!I27,0))</f>
        <v/>
      </c>
      <c r="K108" s="55" t="str">
        <f>IF(OR($A108="",F108=""),"",ROUND(F108*Setup!J27,0))</f>
        <v/>
      </c>
      <c r="L108" s="55" t="str">
        <f>IF(OR($A108="",F108=""),"",ROUND(F108*Setup!K27,0))</f>
        <v/>
      </c>
      <c r="M108" s="55" t="str">
        <f>IF(OR($A108="",F108=""),"",ROUND(F108*Setup!L27,0))</f>
        <v/>
      </c>
      <c r="N108" s="53" t="str">
        <f t="shared" si="47"/>
        <v/>
      </c>
      <c r="O108" s="56" t="str">
        <f>IF(OR($A108="",N108=""),"",N108*Setup!$B$6/(1+Setup!$B$6))</f>
        <v/>
      </c>
      <c r="P108" s="53" t="str">
        <f t="shared" si="48"/>
        <v/>
      </c>
      <c r="Q108" s="57">
        <f>IF($A108="","",Setup!S27)</f>
        <v>169</v>
      </c>
      <c r="R108" s="57" t="str">
        <f t="shared" si="49"/>
        <v/>
      </c>
      <c r="S108" s="58" t="str">
        <f t="shared" si="50"/>
        <v/>
      </c>
    </row>
    <row r="109" spans="1:19" ht="15" customHeight="1" x14ac:dyDescent="0.2">
      <c r="A109" s="43" t="str">
        <f>IF(Setup!B28="","",Setup!B28)</f>
        <v>Red Red Wine White tee</v>
      </c>
      <c r="B109" s="44" t="str">
        <f>IF($A109="","",Setup!C28)</f>
        <v>Apparel</v>
      </c>
      <c r="C109" s="45">
        <f>IF($A109="","",Setup!D28)</f>
        <v>550</v>
      </c>
      <c r="D109" s="46">
        <f>IF($A109="","",Setup!E28)</f>
        <v>0.3</v>
      </c>
      <c r="E109" s="45" t="str">
        <f t="shared" si="45"/>
        <v/>
      </c>
      <c r="F109" s="47" t="str">
        <f t="shared" si="46"/>
        <v/>
      </c>
      <c r="G109" s="47" t="str">
        <f>IF(OR($A109="",F109=""),"",ROUND(F109*Setup!F28,0))</f>
        <v/>
      </c>
      <c r="H109" s="47" t="str">
        <f>IF(OR($A109="",F109=""),"",ROUND(F109*Setup!G28,0))</f>
        <v/>
      </c>
      <c r="I109" s="47" t="str">
        <f>IF(OR($A109="",F109=""),"",ROUND(F109*Setup!H28,0))</f>
        <v/>
      </c>
      <c r="J109" s="47" t="str">
        <f>IF(OR($A109="",F109=""),"",ROUND(F109*Setup!I28,0))</f>
        <v/>
      </c>
      <c r="K109" s="47" t="str">
        <f>IF(OR($A109="",F109=""),"",ROUND(F109*Setup!J28,0))</f>
        <v/>
      </c>
      <c r="L109" s="47" t="str">
        <f>IF(OR($A109="",F109=""),"",ROUND(F109*Setup!K28,0))</f>
        <v/>
      </c>
      <c r="M109" s="47" t="str">
        <f>IF(OR($A109="",F109=""),"",ROUND(F109*Setup!L28,0))</f>
        <v/>
      </c>
      <c r="N109" s="45" t="str">
        <f t="shared" si="47"/>
        <v/>
      </c>
      <c r="O109" s="48" t="str">
        <f>IF(OR($A109="",N109=""),"",N109*Setup!$B$6/(1+Setup!$B$6))</f>
        <v/>
      </c>
      <c r="P109" s="45" t="str">
        <f t="shared" si="48"/>
        <v/>
      </c>
      <c r="Q109" s="49">
        <f>IF($A109="","",Setup!S28)</f>
        <v>162</v>
      </c>
      <c r="R109" s="49" t="str">
        <f t="shared" si="49"/>
        <v/>
      </c>
      <c r="S109" s="50" t="str">
        <f t="shared" si="50"/>
        <v/>
      </c>
    </row>
    <row r="110" spans="1:19" ht="15" customHeight="1" x14ac:dyDescent="0.2">
      <c r="A110" s="51" t="str">
        <f>IF(Setup!B29="","",Setup!B29)</f>
        <v>Cap</v>
      </c>
      <c r="B110" s="52" t="str">
        <f>IF($A110="","",Setup!C29)</f>
        <v>Accessory</v>
      </c>
      <c r="C110" s="53">
        <f>IF($A110="","",Setup!D29)</f>
        <v>350</v>
      </c>
      <c r="D110" s="54">
        <f>IF($A110="","",Setup!E29)</f>
        <v>0.13</v>
      </c>
      <c r="E110" s="53" t="str">
        <f t="shared" si="45"/>
        <v/>
      </c>
      <c r="F110" s="55" t="str">
        <f t="shared" si="46"/>
        <v/>
      </c>
      <c r="G110" s="55" t="str">
        <f>IF(OR($A110="",F110=""),"",ROUND(F110*Setup!F29,0))</f>
        <v/>
      </c>
      <c r="H110" s="55" t="str">
        <f>IF(OR($A110="",F110=""),"",ROUND(F110*Setup!G29,0))</f>
        <v/>
      </c>
      <c r="I110" s="55" t="str">
        <f>IF(OR($A110="",F110=""),"",ROUND(F110*Setup!H29,0))</f>
        <v/>
      </c>
      <c r="J110" s="55" t="str">
        <f>IF(OR($A110="",F110=""),"",ROUND(F110*Setup!I29,0))</f>
        <v/>
      </c>
      <c r="K110" s="55" t="str">
        <f>IF(OR($A110="",F110=""),"",ROUND(F110*Setup!J29,0))</f>
        <v/>
      </c>
      <c r="L110" s="55" t="str">
        <f>IF(OR($A110="",F110=""),"",ROUND(F110*Setup!K29,0))</f>
        <v/>
      </c>
      <c r="M110" s="55" t="str">
        <f>IF(OR($A110="",F110=""),"",ROUND(F110*Setup!L29,0))</f>
        <v/>
      </c>
      <c r="N110" s="53" t="str">
        <f t="shared" si="47"/>
        <v/>
      </c>
      <c r="O110" s="56" t="str">
        <f>IF(OR($A110="",N110=""),"",N110*Setup!$B$6/(1+Setup!$B$6))</f>
        <v/>
      </c>
      <c r="P110" s="53" t="str">
        <f t="shared" si="48"/>
        <v/>
      </c>
      <c r="Q110" s="57">
        <f>IF($A110="","",Setup!S29)</f>
        <v>96</v>
      </c>
      <c r="R110" s="57" t="str">
        <f t="shared" si="49"/>
        <v/>
      </c>
      <c r="S110" s="58" t="str">
        <f t="shared" si="50"/>
        <v/>
      </c>
    </row>
    <row r="111" spans="1:19" ht="15" customHeight="1" x14ac:dyDescent="0.2">
      <c r="A111" s="43" t="str">
        <f>IF(Setup!B30="","",Setup!B30)</f>
        <v>Tote</v>
      </c>
      <c r="B111" s="44" t="str">
        <f>IF($A111="","",Setup!C30)</f>
        <v>Accessory</v>
      </c>
      <c r="C111" s="45">
        <f>IF($A111="","",Setup!D30)</f>
        <v>100</v>
      </c>
      <c r="D111" s="46">
        <f>IF($A111="","",Setup!E30)</f>
        <v>7.0000000000000007E-2</v>
      </c>
      <c r="E111" s="45" t="str">
        <f t="shared" si="45"/>
        <v/>
      </c>
      <c r="F111" s="47" t="str">
        <f t="shared" si="46"/>
        <v/>
      </c>
      <c r="G111" s="47" t="str">
        <f>IF(OR($A111="",F111=""),"",ROUND(F111*Setup!F30,0))</f>
        <v/>
      </c>
      <c r="H111" s="47" t="str">
        <f>IF(OR($A111="",F111=""),"",ROUND(F111*Setup!G30,0))</f>
        <v/>
      </c>
      <c r="I111" s="47" t="str">
        <f>IF(OR($A111="",F111=""),"",ROUND(F111*Setup!H30,0))</f>
        <v/>
      </c>
      <c r="J111" s="47" t="str">
        <f>IF(OR($A111="",F111=""),"",ROUND(F111*Setup!I30,0))</f>
        <v/>
      </c>
      <c r="K111" s="47" t="str">
        <f>IF(OR($A111="",F111=""),"",ROUND(F111*Setup!J30,0))</f>
        <v/>
      </c>
      <c r="L111" s="47" t="str">
        <f>IF(OR($A111="",F111=""),"",ROUND(F111*Setup!K30,0))</f>
        <v/>
      </c>
      <c r="M111" s="47" t="str">
        <f>IF(OR($A111="",F111=""),"",ROUND(F111*Setup!L30,0))</f>
        <v/>
      </c>
      <c r="N111" s="45" t="str">
        <f t="shared" si="47"/>
        <v/>
      </c>
      <c r="O111" s="48" t="str">
        <f>IF(OR($A111="",N111=""),"",N111*Setup!$B$6/(1+Setup!$B$6))</f>
        <v/>
      </c>
      <c r="P111" s="45" t="str">
        <f t="shared" si="48"/>
        <v/>
      </c>
      <c r="Q111" s="49">
        <f>IF($A111="","",Setup!S30)</f>
        <v>50</v>
      </c>
      <c r="R111" s="49" t="str">
        <f t="shared" si="49"/>
        <v/>
      </c>
      <c r="S111" s="50" t="str">
        <f t="shared" si="50"/>
        <v/>
      </c>
    </row>
    <row r="112" spans="1:19" ht="15" customHeight="1" x14ac:dyDescent="0.2">
      <c r="A112" s="51" t="str">
        <f>IF(Setup!B31="","",Setup!B31)</f>
        <v/>
      </c>
      <c r="B112" s="52" t="str">
        <f>IF($A112="","",Setup!C31)</f>
        <v/>
      </c>
      <c r="C112" s="53" t="str">
        <f>IF($A112="","",Setup!D31)</f>
        <v/>
      </c>
      <c r="D112" s="54" t="str">
        <f>IF($A112="","",Setup!E31)</f>
        <v/>
      </c>
      <c r="E112" s="53" t="str">
        <f t="shared" si="45"/>
        <v/>
      </c>
      <c r="F112" s="55" t="str">
        <f t="shared" si="46"/>
        <v/>
      </c>
      <c r="G112" s="55" t="str">
        <f>IF(OR($A112="",F112=""),"",ROUND(F112*Setup!F31,0))</f>
        <v/>
      </c>
      <c r="H112" s="55" t="str">
        <f>IF(OR($A112="",F112=""),"",ROUND(F112*Setup!G31,0))</f>
        <v/>
      </c>
      <c r="I112" s="55" t="str">
        <f>IF(OR($A112="",F112=""),"",ROUND(F112*Setup!H31,0))</f>
        <v/>
      </c>
      <c r="J112" s="55" t="str">
        <f>IF(OR($A112="",F112=""),"",ROUND(F112*Setup!I31,0))</f>
        <v/>
      </c>
      <c r="K112" s="55" t="str">
        <f>IF(OR($A112="",F112=""),"",ROUND(F112*Setup!J31,0))</f>
        <v/>
      </c>
      <c r="L112" s="55" t="str">
        <f>IF(OR($A112="",F112=""),"",ROUND(F112*Setup!K31,0))</f>
        <v/>
      </c>
      <c r="M112" s="55" t="str">
        <f>IF(OR($A112="",F112=""),"",ROUND(F112*Setup!L31,0))</f>
        <v/>
      </c>
      <c r="N112" s="53" t="str">
        <f t="shared" si="47"/>
        <v/>
      </c>
      <c r="O112" s="56" t="str">
        <f>IF(OR($A112="",N112=""),"",N112*Setup!$B$6/(1+Setup!$B$6))</f>
        <v/>
      </c>
      <c r="P112" s="53" t="str">
        <f t="shared" si="48"/>
        <v/>
      </c>
      <c r="Q112" s="57" t="str">
        <f>IF($A112="","",Setup!S31)</f>
        <v/>
      </c>
      <c r="R112" s="57" t="str">
        <f t="shared" si="49"/>
        <v/>
      </c>
      <c r="S112" s="58" t="str">
        <f t="shared" si="50"/>
        <v/>
      </c>
    </row>
    <row r="113" spans="1:19" ht="15" customHeight="1" x14ac:dyDescent="0.2">
      <c r="A113" s="43" t="str">
        <f>IF(Setup!B32="","",Setup!B32)</f>
        <v/>
      </c>
      <c r="B113" s="44" t="str">
        <f>IF($A113="","",Setup!C32)</f>
        <v/>
      </c>
      <c r="C113" s="45" t="str">
        <f>IF($A113="","",Setup!D32)</f>
        <v/>
      </c>
      <c r="D113" s="46" t="str">
        <f>IF($A113="","",Setup!E32)</f>
        <v/>
      </c>
      <c r="E113" s="45" t="str">
        <f t="shared" si="45"/>
        <v/>
      </c>
      <c r="F113" s="47" t="str">
        <f t="shared" si="46"/>
        <v/>
      </c>
      <c r="G113" s="47" t="str">
        <f>IF(OR($A113="",F113=""),"",ROUND(F113*Setup!F32,0))</f>
        <v/>
      </c>
      <c r="H113" s="47" t="str">
        <f>IF(OR($A113="",F113=""),"",ROUND(F113*Setup!G32,0))</f>
        <v/>
      </c>
      <c r="I113" s="47" t="str">
        <f>IF(OR($A113="",F113=""),"",ROUND(F113*Setup!H32,0))</f>
        <v/>
      </c>
      <c r="J113" s="47" t="str">
        <f>IF(OR($A113="",F113=""),"",ROUND(F113*Setup!I32,0))</f>
        <v/>
      </c>
      <c r="K113" s="47" t="str">
        <f>IF(OR($A113="",F113=""),"",ROUND(F113*Setup!J32,0))</f>
        <v/>
      </c>
      <c r="L113" s="47" t="str">
        <f>IF(OR($A113="",F113=""),"",ROUND(F113*Setup!K32,0))</f>
        <v/>
      </c>
      <c r="M113" s="47" t="str">
        <f>IF(OR($A113="",F113=""),"",ROUND(F113*Setup!L32,0))</f>
        <v/>
      </c>
      <c r="N113" s="45" t="str">
        <f t="shared" si="47"/>
        <v/>
      </c>
      <c r="O113" s="48" t="str">
        <f>IF(OR($A113="",N113=""),"",N113*Setup!$B$6/(1+Setup!$B$6))</f>
        <v/>
      </c>
      <c r="P113" s="45" t="str">
        <f t="shared" si="48"/>
        <v/>
      </c>
      <c r="Q113" s="49" t="str">
        <f>IF($A113="","",Setup!S32)</f>
        <v/>
      </c>
      <c r="R113" s="49" t="str">
        <f t="shared" si="49"/>
        <v/>
      </c>
      <c r="S113" s="50" t="str">
        <f t="shared" si="50"/>
        <v/>
      </c>
    </row>
    <row r="114" spans="1:19" ht="15" customHeight="1" x14ac:dyDescent="0.2">
      <c r="A114" s="51" t="str">
        <f>IF(Setup!B33="","",Setup!B33)</f>
        <v/>
      </c>
      <c r="B114" s="52" t="str">
        <f>IF($A114="","",Setup!C33)</f>
        <v/>
      </c>
      <c r="C114" s="53" t="str">
        <f>IF($A114="","",Setup!D33)</f>
        <v/>
      </c>
      <c r="D114" s="54" t="str">
        <f>IF($A114="","",Setup!E33)</f>
        <v/>
      </c>
      <c r="E114" s="53" t="str">
        <f t="shared" si="45"/>
        <v/>
      </c>
      <c r="F114" s="55" t="str">
        <f t="shared" si="46"/>
        <v/>
      </c>
      <c r="G114" s="55" t="str">
        <f>IF(OR($A114="",F114=""),"",ROUND(F114*Setup!F33,0))</f>
        <v/>
      </c>
      <c r="H114" s="55" t="str">
        <f>IF(OR($A114="",F114=""),"",ROUND(F114*Setup!G33,0))</f>
        <v/>
      </c>
      <c r="I114" s="55" t="str">
        <f>IF(OR($A114="",F114=""),"",ROUND(F114*Setup!H33,0))</f>
        <v/>
      </c>
      <c r="J114" s="55" t="str">
        <f>IF(OR($A114="",F114=""),"",ROUND(F114*Setup!I33,0))</f>
        <v/>
      </c>
      <c r="K114" s="55" t="str">
        <f>IF(OR($A114="",F114=""),"",ROUND(F114*Setup!J33,0))</f>
        <v/>
      </c>
      <c r="L114" s="55" t="str">
        <f>IF(OR($A114="",F114=""),"",ROUND(F114*Setup!K33,0))</f>
        <v/>
      </c>
      <c r="M114" s="55" t="str">
        <f>IF(OR($A114="",F114=""),"",ROUND(F114*Setup!L33,0))</f>
        <v/>
      </c>
      <c r="N114" s="53" t="str">
        <f t="shared" si="47"/>
        <v/>
      </c>
      <c r="O114" s="56" t="str">
        <f>IF(OR($A114="",N114=""),"",N114*Setup!$B$6/(1+Setup!$B$6))</f>
        <v/>
      </c>
      <c r="P114" s="53" t="str">
        <f t="shared" si="48"/>
        <v/>
      </c>
      <c r="Q114" s="57" t="str">
        <f>IF($A114="","",Setup!S33)</f>
        <v/>
      </c>
      <c r="R114" s="57" t="str">
        <f t="shared" si="49"/>
        <v/>
      </c>
      <c r="S114" s="58" t="str">
        <f t="shared" si="50"/>
        <v/>
      </c>
    </row>
    <row r="115" spans="1:19" ht="15" customHeight="1" x14ac:dyDescent="0.2">
      <c r="A115" s="43" t="str">
        <f>IF(Setup!B34="","",Setup!B34)</f>
        <v/>
      </c>
      <c r="B115" s="44" t="str">
        <f>IF($A115="","",Setup!C34)</f>
        <v/>
      </c>
      <c r="C115" s="45" t="str">
        <f>IF($A115="","",Setup!D34)</f>
        <v/>
      </c>
      <c r="D115" s="46" t="str">
        <f>IF($A115="","",Setup!E34)</f>
        <v/>
      </c>
      <c r="E115" s="45" t="str">
        <f t="shared" si="45"/>
        <v/>
      </c>
      <c r="F115" s="47" t="str">
        <f t="shared" si="46"/>
        <v/>
      </c>
      <c r="G115" s="47" t="str">
        <f>IF(OR($A115="",F115=""),"",ROUND(F115*Setup!F34,0))</f>
        <v/>
      </c>
      <c r="H115" s="47" t="str">
        <f>IF(OR($A115="",F115=""),"",ROUND(F115*Setup!G34,0))</f>
        <v/>
      </c>
      <c r="I115" s="47" t="str">
        <f>IF(OR($A115="",F115=""),"",ROUND(F115*Setup!H34,0))</f>
        <v/>
      </c>
      <c r="J115" s="47" t="str">
        <f>IF(OR($A115="",F115=""),"",ROUND(F115*Setup!I34,0))</f>
        <v/>
      </c>
      <c r="K115" s="47" t="str">
        <f>IF(OR($A115="",F115=""),"",ROUND(F115*Setup!J34,0))</f>
        <v/>
      </c>
      <c r="L115" s="47" t="str">
        <f>IF(OR($A115="",F115=""),"",ROUND(F115*Setup!K34,0))</f>
        <v/>
      </c>
      <c r="M115" s="47" t="str">
        <f>IF(OR($A115="",F115=""),"",ROUND(F115*Setup!L34,0))</f>
        <v/>
      </c>
      <c r="N115" s="45" t="str">
        <f t="shared" si="47"/>
        <v/>
      </c>
      <c r="O115" s="48" t="str">
        <f>IF(OR($A115="",N115=""),"",N115*Setup!$B$6/(1+Setup!$B$6))</f>
        <v/>
      </c>
      <c r="P115" s="45" t="str">
        <f t="shared" si="48"/>
        <v/>
      </c>
      <c r="Q115" s="49" t="str">
        <f>IF($A115="","",Setup!S34)</f>
        <v/>
      </c>
      <c r="R115" s="49" t="str">
        <f t="shared" si="49"/>
        <v/>
      </c>
      <c r="S115" s="50" t="str">
        <f t="shared" si="50"/>
        <v/>
      </c>
    </row>
    <row r="116" spans="1:19" ht="15" customHeight="1" x14ac:dyDescent="0.2">
      <c r="A116" s="51" t="str">
        <f>IF(Setup!B35="","",Setup!B35)</f>
        <v/>
      </c>
      <c r="B116" s="52" t="str">
        <f>IF($A116="","",Setup!C35)</f>
        <v/>
      </c>
      <c r="C116" s="53" t="str">
        <f>IF($A116="","",Setup!D35)</f>
        <v/>
      </c>
      <c r="D116" s="54" t="str">
        <f>IF($A116="","",Setup!E35)</f>
        <v/>
      </c>
      <c r="E116" s="53" t="str">
        <f t="shared" si="45"/>
        <v/>
      </c>
      <c r="F116" s="55" t="str">
        <f t="shared" si="46"/>
        <v/>
      </c>
      <c r="G116" s="55" t="str">
        <f>IF(OR($A116="",F116=""),"",ROUND(F116*Setup!F35,0))</f>
        <v/>
      </c>
      <c r="H116" s="55" t="str">
        <f>IF(OR($A116="",F116=""),"",ROUND(F116*Setup!G35,0))</f>
        <v/>
      </c>
      <c r="I116" s="55" t="str">
        <f>IF(OR($A116="",F116=""),"",ROUND(F116*Setup!H35,0))</f>
        <v/>
      </c>
      <c r="J116" s="55" t="str">
        <f>IF(OR($A116="",F116=""),"",ROUND(F116*Setup!I35,0))</f>
        <v/>
      </c>
      <c r="K116" s="55" t="str">
        <f>IF(OR($A116="",F116=""),"",ROUND(F116*Setup!J35,0))</f>
        <v/>
      </c>
      <c r="L116" s="55" t="str">
        <f>IF(OR($A116="",F116=""),"",ROUND(F116*Setup!K35,0))</f>
        <v/>
      </c>
      <c r="M116" s="55" t="str">
        <f>IF(OR($A116="",F116=""),"",ROUND(F116*Setup!L35,0))</f>
        <v/>
      </c>
      <c r="N116" s="53" t="str">
        <f t="shared" si="47"/>
        <v/>
      </c>
      <c r="O116" s="56" t="str">
        <f>IF(OR($A116="",N116=""),"",N116*Setup!$B$6/(1+Setup!$B$6))</f>
        <v/>
      </c>
      <c r="P116" s="53" t="str">
        <f t="shared" si="48"/>
        <v/>
      </c>
      <c r="Q116" s="57" t="str">
        <f>IF($A116="","",Setup!S35)</f>
        <v/>
      </c>
      <c r="R116" s="57" t="str">
        <f t="shared" si="49"/>
        <v/>
      </c>
      <c r="S116" s="58" t="str">
        <f t="shared" si="50"/>
        <v/>
      </c>
    </row>
    <row r="117" spans="1:19" ht="15" customHeight="1" x14ac:dyDescent="0.2">
      <c r="A117" s="43" t="str">
        <f>IF(Setup!B36="","",Setup!B36)</f>
        <v/>
      </c>
      <c r="B117" s="44" t="str">
        <f>IF($A117="","",Setup!C36)</f>
        <v/>
      </c>
      <c r="C117" s="45" t="str">
        <f>IF($A117="","",Setup!D36)</f>
        <v/>
      </c>
      <c r="D117" s="46" t="str">
        <f>IF($A117="","",Setup!E36)</f>
        <v/>
      </c>
      <c r="E117" s="45" t="str">
        <f t="shared" si="45"/>
        <v/>
      </c>
      <c r="F117" s="47" t="str">
        <f t="shared" si="46"/>
        <v/>
      </c>
      <c r="G117" s="47" t="str">
        <f>IF(OR($A117="",F117=""),"",ROUND(F117*Setup!F36,0))</f>
        <v/>
      </c>
      <c r="H117" s="47" t="str">
        <f>IF(OR($A117="",F117=""),"",ROUND(F117*Setup!G36,0))</f>
        <v/>
      </c>
      <c r="I117" s="47" t="str">
        <f>IF(OR($A117="",F117=""),"",ROUND(F117*Setup!H36,0))</f>
        <v/>
      </c>
      <c r="J117" s="47" t="str">
        <f>IF(OR($A117="",F117=""),"",ROUND(F117*Setup!I36,0))</f>
        <v/>
      </c>
      <c r="K117" s="47" t="str">
        <f>IF(OR($A117="",F117=""),"",ROUND(F117*Setup!J36,0))</f>
        <v/>
      </c>
      <c r="L117" s="47" t="str">
        <f>IF(OR($A117="",F117=""),"",ROUND(F117*Setup!K36,0))</f>
        <v/>
      </c>
      <c r="M117" s="47" t="str">
        <f>IF(OR($A117="",F117=""),"",ROUND(F117*Setup!L36,0))</f>
        <v/>
      </c>
      <c r="N117" s="45" t="str">
        <f t="shared" si="47"/>
        <v/>
      </c>
      <c r="O117" s="48" t="str">
        <f>IF(OR($A117="",N117=""),"",N117*Setup!$B$6/(1+Setup!$B$6))</f>
        <v/>
      </c>
      <c r="P117" s="45" t="str">
        <f t="shared" si="48"/>
        <v/>
      </c>
      <c r="Q117" s="49" t="str">
        <f>IF($A117="","",Setup!S36)</f>
        <v/>
      </c>
      <c r="R117" s="49" t="str">
        <f t="shared" si="49"/>
        <v/>
      </c>
      <c r="S117" s="50" t="str">
        <f t="shared" si="50"/>
        <v/>
      </c>
    </row>
    <row r="118" spans="1:19" ht="15" customHeight="1" x14ac:dyDescent="0.2">
      <c r="A118" s="51" t="str">
        <f>IF(Setup!B37="","",Setup!B37)</f>
        <v/>
      </c>
      <c r="B118" s="52" t="str">
        <f>IF($A118="","",Setup!C37)</f>
        <v/>
      </c>
      <c r="C118" s="53" t="str">
        <f>IF($A118="","",Setup!D37)</f>
        <v/>
      </c>
      <c r="D118" s="54" t="str">
        <f>IF($A118="","",Setup!E37)</f>
        <v/>
      </c>
      <c r="E118" s="53" t="str">
        <f t="shared" si="45"/>
        <v/>
      </c>
      <c r="F118" s="55" t="str">
        <f t="shared" si="46"/>
        <v/>
      </c>
      <c r="G118" s="55" t="str">
        <f>IF(OR($A118="",F118=""),"",ROUND(F118*Setup!F37,0))</f>
        <v/>
      </c>
      <c r="H118" s="55" t="str">
        <f>IF(OR($A118="",F118=""),"",ROUND(F118*Setup!G37,0))</f>
        <v/>
      </c>
      <c r="I118" s="55" t="str">
        <f>IF(OR($A118="",F118=""),"",ROUND(F118*Setup!H37,0))</f>
        <v/>
      </c>
      <c r="J118" s="55" t="str">
        <f>IF(OR($A118="",F118=""),"",ROUND(F118*Setup!I37,0))</f>
        <v/>
      </c>
      <c r="K118" s="55" t="str">
        <f>IF(OR($A118="",F118=""),"",ROUND(F118*Setup!J37,0))</f>
        <v/>
      </c>
      <c r="L118" s="55" t="str">
        <f>IF(OR($A118="",F118=""),"",ROUND(F118*Setup!K37,0))</f>
        <v/>
      </c>
      <c r="M118" s="55" t="str">
        <f>IF(OR($A118="",F118=""),"",ROUND(F118*Setup!L37,0))</f>
        <v/>
      </c>
      <c r="N118" s="53" t="str">
        <f t="shared" si="47"/>
        <v/>
      </c>
      <c r="O118" s="56" t="str">
        <f>IF(OR($A118="",N118=""),"",N118*Setup!$B$6/(1+Setup!$B$6))</f>
        <v/>
      </c>
      <c r="P118" s="53" t="str">
        <f t="shared" si="48"/>
        <v/>
      </c>
      <c r="Q118" s="57" t="str">
        <f>IF($A118="","",Setup!S37)</f>
        <v/>
      </c>
      <c r="R118" s="57" t="str">
        <f t="shared" si="49"/>
        <v/>
      </c>
      <c r="S118" s="58" t="str">
        <f t="shared" si="50"/>
        <v/>
      </c>
    </row>
    <row r="119" spans="1:19" ht="15" customHeight="1" x14ac:dyDescent="0.2">
      <c r="A119" s="43" t="str">
        <f>IF(Setup!B38="","",Setup!B38)</f>
        <v/>
      </c>
      <c r="B119" s="44" t="str">
        <f>IF($A119="","",Setup!C38)</f>
        <v/>
      </c>
      <c r="C119" s="45" t="str">
        <f>IF($A119="","",Setup!D38)</f>
        <v/>
      </c>
      <c r="D119" s="46" t="str">
        <f>IF($A119="","",Setup!E38)</f>
        <v/>
      </c>
      <c r="E119" s="45" t="str">
        <f t="shared" si="45"/>
        <v/>
      </c>
      <c r="F119" s="47" t="str">
        <f t="shared" si="46"/>
        <v/>
      </c>
      <c r="G119" s="47" t="str">
        <f>IF(OR($A119="",F119=""),"",ROUND(F119*Setup!F38,0))</f>
        <v/>
      </c>
      <c r="H119" s="47" t="str">
        <f>IF(OR($A119="",F119=""),"",ROUND(F119*Setup!G38,0))</f>
        <v/>
      </c>
      <c r="I119" s="47" t="str">
        <f>IF(OR($A119="",F119=""),"",ROUND(F119*Setup!H38,0))</f>
        <v/>
      </c>
      <c r="J119" s="47" t="str">
        <f>IF(OR($A119="",F119=""),"",ROUND(F119*Setup!I38,0))</f>
        <v/>
      </c>
      <c r="K119" s="47" t="str">
        <f>IF(OR($A119="",F119=""),"",ROUND(F119*Setup!J38,0))</f>
        <v/>
      </c>
      <c r="L119" s="47" t="str">
        <f>IF(OR($A119="",F119=""),"",ROUND(F119*Setup!K38,0))</f>
        <v/>
      </c>
      <c r="M119" s="47" t="str">
        <f>IF(OR($A119="",F119=""),"",ROUND(F119*Setup!L38,0))</f>
        <v/>
      </c>
      <c r="N119" s="45" t="str">
        <f t="shared" si="47"/>
        <v/>
      </c>
      <c r="O119" s="48" t="str">
        <f>IF(OR($A119="",N119=""),"",N119*Setup!$B$6/(1+Setup!$B$6))</f>
        <v/>
      </c>
      <c r="P119" s="45" t="str">
        <f t="shared" si="48"/>
        <v/>
      </c>
      <c r="Q119" s="49" t="str">
        <f>IF($A119="","",Setup!S38)</f>
        <v/>
      </c>
      <c r="R119" s="49" t="str">
        <f t="shared" si="49"/>
        <v/>
      </c>
      <c r="S119" s="50" t="str">
        <f t="shared" si="50"/>
        <v/>
      </c>
    </row>
    <row r="120" spans="1:19" ht="15" customHeight="1" x14ac:dyDescent="0.2">
      <c r="A120" s="51" t="str">
        <f>IF(Setup!B39="","",Setup!B39)</f>
        <v/>
      </c>
      <c r="B120" s="52" t="str">
        <f>IF($A120="","",Setup!C39)</f>
        <v/>
      </c>
      <c r="C120" s="53" t="str">
        <f>IF($A120="","",Setup!D39)</f>
        <v/>
      </c>
      <c r="D120" s="54" t="str">
        <f>IF($A120="","",Setup!E39)</f>
        <v/>
      </c>
      <c r="E120" s="53" t="str">
        <f t="shared" si="45"/>
        <v/>
      </c>
      <c r="F120" s="55" t="str">
        <f t="shared" si="46"/>
        <v/>
      </c>
      <c r="G120" s="55" t="str">
        <f>IF(OR($A120="",F120=""),"",ROUND(F120*Setup!F39,0))</f>
        <v/>
      </c>
      <c r="H120" s="55" t="str">
        <f>IF(OR($A120="",F120=""),"",ROUND(F120*Setup!G39,0))</f>
        <v/>
      </c>
      <c r="I120" s="55" t="str">
        <f>IF(OR($A120="",F120=""),"",ROUND(F120*Setup!H39,0))</f>
        <v/>
      </c>
      <c r="J120" s="55" t="str">
        <f>IF(OR($A120="",F120=""),"",ROUND(F120*Setup!I39,0))</f>
        <v/>
      </c>
      <c r="K120" s="55" t="str">
        <f>IF(OR($A120="",F120=""),"",ROUND(F120*Setup!J39,0))</f>
        <v/>
      </c>
      <c r="L120" s="55" t="str">
        <f>IF(OR($A120="",F120=""),"",ROUND(F120*Setup!K39,0))</f>
        <v/>
      </c>
      <c r="M120" s="55" t="str">
        <f>IF(OR($A120="",F120=""),"",ROUND(F120*Setup!L39,0))</f>
        <v/>
      </c>
      <c r="N120" s="53" t="str">
        <f t="shared" si="47"/>
        <v/>
      </c>
      <c r="O120" s="56" t="str">
        <f>IF(OR($A120="",N120=""),"",N120*Setup!$B$6/(1+Setup!$B$6))</f>
        <v/>
      </c>
      <c r="P120" s="53" t="str">
        <f t="shared" si="48"/>
        <v/>
      </c>
      <c r="Q120" s="57" t="str">
        <f>IF($A120="","",Setup!S39)</f>
        <v/>
      </c>
      <c r="R120" s="57" t="str">
        <f t="shared" si="49"/>
        <v/>
      </c>
      <c r="S120" s="58" t="str">
        <f t="shared" si="50"/>
        <v/>
      </c>
    </row>
    <row r="121" spans="1:19" ht="15" customHeight="1" x14ac:dyDescent="0.2">
      <c r="A121" s="43" t="str">
        <f>IF(Setup!B40="","",Setup!B40)</f>
        <v/>
      </c>
      <c r="B121" s="44" t="str">
        <f>IF($A121="","",Setup!C40)</f>
        <v/>
      </c>
      <c r="C121" s="45" t="str">
        <f>IF($A121="","",Setup!D40)</f>
        <v/>
      </c>
      <c r="D121" s="46" t="str">
        <f>IF($A121="","",Setup!E40)</f>
        <v/>
      </c>
      <c r="E121" s="45" t="str">
        <f t="shared" si="45"/>
        <v/>
      </c>
      <c r="F121" s="47" t="str">
        <f t="shared" si="46"/>
        <v/>
      </c>
      <c r="G121" s="47" t="str">
        <f>IF(OR($A121="",F121=""),"",ROUND(F121*Setup!F40,0))</f>
        <v/>
      </c>
      <c r="H121" s="47" t="str">
        <f>IF(OR($A121="",F121=""),"",ROUND(F121*Setup!G40,0))</f>
        <v/>
      </c>
      <c r="I121" s="47" t="str">
        <f>IF(OR($A121="",F121=""),"",ROUND(F121*Setup!H40,0))</f>
        <v/>
      </c>
      <c r="J121" s="47" t="str">
        <f>IF(OR($A121="",F121=""),"",ROUND(F121*Setup!I40,0))</f>
        <v/>
      </c>
      <c r="K121" s="47" t="str">
        <f>IF(OR($A121="",F121=""),"",ROUND(F121*Setup!J40,0))</f>
        <v/>
      </c>
      <c r="L121" s="47" t="str">
        <f>IF(OR($A121="",F121=""),"",ROUND(F121*Setup!K40,0))</f>
        <v/>
      </c>
      <c r="M121" s="47" t="str">
        <f>IF(OR($A121="",F121=""),"",ROUND(F121*Setup!L40,0))</f>
        <v/>
      </c>
      <c r="N121" s="45" t="str">
        <f t="shared" si="47"/>
        <v/>
      </c>
      <c r="O121" s="48" t="str">
        <f>IF(OR($A121="",N121=""),"",N121*Setup!$B$6/(1+Setup!$B$6))</f>
        <v/>
      </c>
      <c r="P121" s="45" t="str">
        <f t="shared" si="48"/>
        <v/>
      </c>
      <c r="Q121" s="49" t="str">
        <f>IF($A121="","",Setup!S40)</f>
        <v/>
      </c>
      <c r="R121" s="49" t="str">
        <f t="shared" si="49"/>
        <v/>
      </c>
      <c r="S121" s="50" t="str">
        <f t="shared" si="50"/>
        <v/>
      </c>
    </row>
    <row r="122" spans="1:19" ht="15" customHeight="1" x14ac:dyDescent="0.2">
      <c r="A122" s="59" t="s">
        <v>100</v>
      </c>
      <c r="B122" s="26"/>
      <c r="C122" s="26"/>
      <c r="D122" s="26"/>
      <c r="E122" s="26">
        <f t="shared" ref="E122:P122" si="51">SUM(E107:E121)</f>
        <v>0</v>
      </c>
      <c r="F122" s="25">
        <f t="shared" si="51"/>
        <v>0</v>
      </c>
      <c r="G122" s="25">
        <f t="shared" si="51"/>
        <v>0</v>
      </c>
      <c r="H122" s="25">
        <f t="shared" si="51"/>
        <v>0</v>
      </c>
      <c r="I122" s="25">
        <f t="shared" si="51"/>
        <v>0</v>
      </c>
      <c r="J122" s="25">
        <f t="shared" si="51"/>
        <v>0</v>
      </c>
      <c r="K122" s="25">
        <f t="shared" si="51"/>
        <v>0</v>
      </c>
      <c r="L122" s="25">
        <f t="shared" si="51"/>
        <v>0</v>
      </c>
      <c r="M122" s="25">
        <f t="shared" si="51"/>
        <v>0</v>
      </c>
      <c r="N122" s="26">
        <f t="shared" si="51"/>
        <v>0</v>
      </c>
      <c r="O122" s="26">
        <f t="shared" si="51"/>
        <v>0</v>
      </c>
      <c r="P122" s="26">
        <f t="shared" si="51"/>
        <v>0</v>
      </c>
      <c r="Q122" s="26"/>
      <c r="R122" s="26">
        <f>SUM(R107:R121)</f>
        <v>0</v>
      </c>
      <c r="S122" s="26">
        <f>SUM(S107:S121)</f>
        <v>0</v>
      </c>
    </row>
    <row r="125" spans="1:19" ht="15.75" customHeight="1" x14ac:dyDescent="0.2">
      <c r="A125" s="95" t="str">
        <f>IF(Setup!C14="","Event 6: Not configured",UPPER(Setup!C14&amp;" - "&amp;Setup!D14&amp;" | "&amp;TEXT(Setup!B14,"DD MMM YYYY")))</f>
        <v>Event 6: Not configured</v>
      </c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4" t="s">
        <v>93</v>
      </c>
      <c r="O125" s="93"/>
      <c r="P125" s="93"/>
      <c r="Q125" s="92" t="str">
        <f>Setup!I14</f>
        <v/>
      </c>
      <c r="R125" s="93"/>
      <c r="S125" s="93"/>
    </row>
    <row r="126" spans="1:19" ht="15" customHeight="1" x14ac:dyDescent="0.2">
      <c r="A126" s="60" t="s">
        <v>94</v>
      </c>
      <c r="B126" s="61">
        <f>Setup!F14</f>
        <v>0</v>
      </c>
      <c r="C126" s="62"/>
      <c r="D126" s="60" t="s">
        <v>95</v>
      </c>
      <c r="E126" s="61">
        <f>Setup!G14</f>
        <v>0</v>
      </c>
      <c r="F126" s="62"/>
      <c r="G126" s="60" t="s">
        <v>96</v>
      </c>
      <c r="H126" s="63">
        <f>Setup!H14</f>
        <v>0</v>
      </c>
      <c r="I126" s="62"/>
      <c r="J126" s="60" t="s">
        <v>13</v>
      </c>
      <c r="K126" s="64">
        <f>Setup!B6</f>
        <v>0.15</v>
      </c>
      <c r="L126" s="62"/>
      <c r="M126" s="60" t="s">
        <v>97</v>
      </c>
      <c r="N126" s="63">
        <f>Setup!J14</f>
        <v>0</v>
      </c>
      <c r="O126" s="62"/>
      <c r="P126" s="60" t="s">
        <v>98</v>
      </c>
      <c r="Q126" s="63">
        <f>Setup!L14</f>
        <v>0</v>
      </c>
      <c r="R126" s="60" t="s">
        <v>99</v>
      </c>
      <c r="S126" s="64">
        <f>Setup!M14</f>
        <v>0</v>
      </c>
    </row>
    <row r="127" spans="1:19" ht="25.5" customHeight="1" x14ac:dyDescent="0.2">
      <c r="A127" s="28" t="s">
        <v>74</v>
      </c>
      <c r="B127" s="28" t="s">
        <v>49</v>
      </c>
      <c r="C127" s="28" t="s">
        <v>75</v>
      </c>
      <c r="D127" s="28" t="s">
        <v>76</v>
      </c>
      <c r="E127" s="28" t="s">
        <v>77</v>
      </c>
      <c r="F127" s="28" t="s">
        <v>78</v>
      </c>
      <c r="G127" s="28" t="s">
        <v>79</v>
      </c>
      <c r="H127" s="28" t="s">
        <v>80</v>
      </c>
      <c r="I127" s="28" t="s">
        <v>81</v>
      </c>
      <c r="J127" s="28" t="s">
        <v>82</v>
      </c>
      <c r="K127" s="28" t="s">
        <v>83</v>
      </c>
      <c r="L127" s="28" t="s">
        <v>84</v>
      </c>
      <c r="M127" s="28" t="s">
        <v>85</v>
      </c>
      <c r="N127" s="28" t="s">
        <v>86</v>
      </c>
      <c r="O127" s="41" t="s">
        <v>87</v>
      </c>
      <c r="P127" s="42" t="s">
        <v>88</v>
      </c>
      <c r="Q127" s="29" t="s">
        <v>89</v>
      </c>
      <c r="R127" s="29" t="s">
        <v>90</v>
      </c>
      <c r="S127" s="29" t="s">
        <v>91</v>
      </c>
    </row>
    <row r="128" spans="1:19" ht="15" customHeight="1" x14ac:dyDescent="0.2">
      <c r="A128" s="43" t="str">
        <f>IF(Setup!B26="","",Setup!B26)</f>
        <v>Sing Song Black tee</v>
      </c>
      <c r="B128" s="44" t="str">
        <f>IF($A128="","",Setup!C26)</f>
        <v>Apparel</v>
      </c>
      <c r="C128" s="45">
        <f>IF($A128="","",Setup!D26)</f>
        <v>550</v>
      </c>
      <c r="D128" s="46">
        <f>IF($A128="","",Setup!E26)</f>
        <v>0.3</v>
      </c>
      <c r="E128" s="45" t="str">
        <f t="shared" ref="E128:E142" si="52">IF(OR($A128="",$Q$125=""),"",$Q$125*D128)</f>
        <v/>
      </c>
      <c r="F128" s="47" t="str">
        <f t="shared" ref="F128:F142" si="53">IF(OR($A128="",C128=0,E128=""),"",ROUNDUP(E128/C128,0))</f>
        <v/>
      </c>
      <c r="G128" s="47" t="str">
        <f>IF(OR($A128="",F128=""),"",ROUND(F128*Setup!F26,0))</f>
        <v/>
      </c>
      <c r="H128" s="47" t="str">
        <f>IF(OR($A128="",F128=""),"",ROUND(F128*Setup!G26,0))</f>
        <v/>
      </c>
      <c r="I128" s="47" t="str">
        <f>IF(OR($A128="",F128=""),"",ROUND(F128*Setup!H26,0))</f>
        <v/>
      </c>
      <c r="J128" s="47" t="str">
        <f>IF(OR($A128="",F128=""),"",ROUND(F128*Setup!I26,0))</f>
        <v/>
      </c>
      <c r="K128" s="47" t="str">
        <f>IF(OR($A128="",F128=""),"",ROUND(F128*Setup!J26,0))</f>
        <v/>
      </c>
      <c r="L128" s="47" t="str">
        <f>IF(OR($A128="",F128=""),"",ROUND(F128*Setup!K26,0))</f>
        <v/>
      </c>
      <c r="M128" s="47" t="str">
        <f>IF(OR($A128="",F128=""),"",ROUND(F128*Setup!L26,0))</f>
        <v/>
      </c>
      <c r="N128" s="45" t="str">
        <f t="shared" ref="N128:N142" si="54">IF(OR($A128="",F128=""),"",F128*C128)</f>
        <v/>
      </c>
      <c r="O128" s="48" t="str">
        <f>IF(OR($A128="",N128=""),"",N128*Setup!$B$6/(1+Setup!$B$6))</f>
        <v/>
      </c>
      <c r="P128" s="45" t="str">
        <f t="shared" ref="P128:P142" si="55">IF(OR($A128="",N128=""),"",N128-O128)</f>
        <v/>
      </c>
      <c r="Q128" s="49">
        <f>IF($A128="","",Setup!S26)</f>
        <v>169</v>
      </c>
      <c r="R128" s="49" t="str">
        <f t="shared" ref="R128:R142" si="56">IF(OR($A128="",F128="",Q128=""),"",F128*Q128)</f>
        <v/>
      </c>
      <c r="S128" s="50" t="str">
        <f t="shared" ref="S128:S142" si="57">IF(OR($A128="",P128="",R128=""),"",P128-R128)</f>
        <v/>
      </c>
    </row>
    <row r="129" spans="1:19" ht="15" customHeight="1" x14ac:dyDescent="0.2">
      <c r="A129" s="51" t="str">
        <f>IF(Setup!B27="","",Setup!B27)</f>
        <v>Kingston Black Tee</v>
      </c>
      <c r="B129" s="52" t="str">
        <f>IF($A129="","",Setup!C27)</f>
        <v>Apparel</v>
      </c>
      <c r="C129" s="53">
        <f>IF($A129="","",Setup!D27)</f>
        <v>550</v>
      </c>
      <c r="D129" s="54">
        <f>IF($A129="","",Setup!E27)</f>
        <v>0.2</v>
      </c>
      <c r="E129" s="53" t="str">
        <f t="shared" si="52"/>
        <v/>
      </c>
      <c r="F129" s="55" t="str">
        <f t="shared" si="53"/>
        <v/>
      </c>
      <c r="G129" s="55" t="str">
        <f>IF(OR($A129="",F129=""),"",ROUND(F129*Setup!F27,0))</f>
        <v/>
      </c>
      <c r="H129" s="55" t="str">
        <f>IF(OR($A129="",F129=""),"",ROUND(F129*Setup!G27,0))</f>
        <v/>
      </c>
      <c r="I129" s="55" t="str">
        <f>IF(OR($A129="",F129=""),"",ROUND(F129*Setup!H27,0))</f>
        <v/>
      </c>
      <c r="J129" s="55" t="str">
        <f>IF(OR($A129="",F129=""),"",ROUND(F129*Setup!I27,0))</f>
        <v/>
      </c>
      <c r="K129" s="55" t="str">
        <f>IF(OR($A129="",F129=""),"",ROUND(F129*Setup!J27,0))</f>
        <v/>
      </c>
      <c r="L129" s="55" t="str">
        <f>IF(OR($A129="",F129=""),"",ROUND(F129*Setup!K27,0))</f>
        <v/>
      </c>
      <c r="M129" s="55" t="str">
        <f>IF(OR($A129="",F129=""),"",ROUND(F129*Setup!L27,0))</f>
        <v/>
      </c>
      <c r="N129" s="53" t="str">
        <f t="shared" si="54"/>
        <v/>
      </c>
      <c r="O129" s="56" t="str">
        <f>IF(OR($A129="",N129=""),"",N129*Setup!$B$6/(1+Setup!$B$6))</f>
        <v/>
      </c>
      <c r="P129" s="53" t="str">
        <f t="shared" si="55"/>
        <v/>
      </c>
      <c r="Q129" s="57">
        <f>IF($A129="","",Setup!S27)</f>
        <v>169</v>
      </c>
      <c r="R129" s="57" t="str">
        <f t="shared" si="56"/>
        <v/>
      </c>
      <c r="S129" s="58" t="str">
        <f t="shared" si="57"/>
        <v/>
      </c>
    </row>
    <row r="130" spans="1:19" ht="15" customHeight="1" x14ac:dyDescent="0.2">
      <c r="A130" s="43" t="str">
        <f>IF(Setup!B28="","",Setup!B28)</f>
        <v>Red Red Wine White tee</v>
      </c>
      <c r="B130" s="44" t="str">
        <f>IF($A130="","",Setup!C28)</f>
        <v>Apparel</v>
      </c>
      <c r="C130" s="45">
        <f>IF($A130="","",Setup!D28)</f>
        <v>550</v>
      </c>
      <c r="D130" s="46">
        <f>IF($A130="","",Setup!E28)</f>
        <v>0.3</v>
      </c>
      <c r="E130" s="45" t="str">
        <f t="shared" si="52"/>
        <v/>
      </c>
      <c r="F130" s="47" t="str">
        <f t="shared" si="53"/>
        <v/>
      </c>
      <c r="G130" s="47" t="str">
        <f>IF(OR($A130="",F130=""),"",ROUND(F130*Setup!F28,0))</f>
        <v/>
      </c>
      <c r="H130" s="47" t="str">
        <f>IF(OR($A130="",F130=""),"",ROUND(F130*Setup!G28,0))</f>
        <v/>
      </c>
      <c r="I130" s="47" t="str">
        <f>IF(OR($A130="",F130=""),"",ROUND(F130*Setup!H28,0))</f>
        <v/>
      </c>
      <c r="J130" s="47" t="str">
        <f>IF(OR($A130="",F130=""),"",ROUND(F130*Setup!I28,0))</f>
        <v/>
      </c>
      <c r="K130" s="47" t="str">
        <f>IF(OR($A130="",F130=""),"",ROUND(F130*Setup!J28,0))</f>
        <v/>
      </c>
      <c r="L130" s="47" t="str">
        <f>IF(OR($A130="",F130=""),"",ROUND(F130*Setup!K28,0))</f>
        <v/>
      </c>
      <c r="M130" s="47" t="str">
        <f>IF(OR($A130="",F130=""),"",ROUND(F130*Setup!L28,0))</f>
        <v/>
      </c>
      <c r="N130" s="45" t="str">
        <f t="shared" si="54"/>
        <v/>
      </c>
      <c r="O130" s="48" t="str">
        <f>IF(OR($A130="",N130=""),"",N130*Setup!$B$6/(1+Setup!$B$6))</f>
        <v/>
      </c>
      <c r="P130" s="45" t="str">
        <f t="shared" si="55"/>
        <v/>
      </c>
      <c r="Q130" s="49">
        <f>IF($A130="","",Setup!S28)</f>
        <v>162</v>
      </c>
      <c r="R130" s="49" t="str">
        <f t="shared" si="56"/>
        <v/>
      </c>
      <c r="S130" s="50" t="str">
        <f t="shared" si="57"/>
        <v/>
      </c>
    </row>
    <row r="131" spans="1:19" ht="15" customHeight="1" x14ac:dyDescent="0.2">
      <c r="A131" s="51" t="str">
        <f>IF(Setup!B29="","",Setup!B29)</f>
        <v>Cap</v>
      </c>
      <c r="B131" s="52" t="str">
        <f>IF($A131="","",Setup!C29)</f>
        <v>Accessory</v>
      </c>
      <c r="C131" s="53">
        <f>IF($A131="","",Setup!D29)</f>
        <v>350</v>
      </c>
      <c r="D131" s="54">
        <f>IF($A131="","",Setup!E29)</f>
        <v>0.13</v>
      </c>
      <c r="E131" s="53" t="str">
        <f t="shared" si="52"/>
        <v/>
      </c>
      <c r="F131" s="55" t="str">
        <f t="shared" si="53"/>
        <v/>
      </c>
      <c r="G131" s="55" t="str">
        <f>IF(OR($A131="",F131=""),"",ROUND(F131*Setup!F29,0))</f>
        <v/>
      </c>
      <c r="H131" s="55" t="str">
        <f>IF(OR($A131="",F131=""),"",ROUND(F131*Setup!G29,0))</f>
        <v/>
      </c>
      <c r="I131" s="55" t="str">
        <f>IF(OR($A131="",F131=""),"",ROUND(F131*Setup!H29,0))</f>
        <v/>
      </c>
      <c r="J131" s="55" t="str">
        <f>IF(OR($A131="",F131=""),"",ROUND(F131*Setup!I29,0))</f>
        <v/>
      </c>
      <c r="K131" s="55" t="str">
        <f>IF(OR($A131="",F131=""),"",ROUND(F131*Setup!J29,0))</f>
        <v/>
      </c>
      <c r="L131" s="55" t="str">
        <f>IF(OR($A131="",F131=""),"",ROUND(F131*Setup!K29,0))</f>
        <v/>
      </c>
      <c r="M131" s="55" t="str">
        <f>IF(OR($A131="",F131=""),"",ROUND(F131*Setup!L29,0))</f>
        <v/>
      </c>
      <c r="N131" s="53" t="str">
        <f t="shared" si="54"/>
        <v/>
      </c>
      <c r="O131" s="56" t="str">
        <f>IF(OR($A131="",N131=""),"",N131*Setup!$B$6/(1+Setup!$B$6))</f>
        <v/>
      </c>
      <c r="P131" s="53" t="str">
        <f t="shared" si="55"/>
        <v/>
      </c>
      <c r="Q131" s="57">
        <f>IF($A131="","",Setup!S29)</f>
        <v>96</v>
      </c>
      <c r="R131" s="57" t="str">
        <f t="shared" si="56"/>
        <v/>
      </c>
      <c r="S131" s="58" t="str">
        <f t="shared" si="57"/>
        <v/>
      </c>
    </row>
    <row r="132" spans="1:19" ht="15" customHeight="1" x14ac:dyDescent="0.2">
      <c r="A132" s="43" t="str">
        <f>IF(Setup!B30="","",Setup!B30)</f>
        <v>Tote</v>
      </c>
      <c r="B132" s="44" t="str">
        <f>IF($A132="","",Setup!C30)</f>
        <v>Accessory</v>
      </c>
      <c r="C132" s="45">
        <f>IF($A132="","",Setup!D30)</f>
        <v>100</v>
      </c>
      <c r="D132" s="46">
        <f>IF($A132="","",Setup!E30)</f>
        <v>7.0000000000000007E-2</v>
      </c>
      <c r="E132" s="45" t="str">
        <f t="shared" si="52"/>
        <v/>
      </c>
      <c r="F132" s="47" t="str">
        <f t="shared" si="53"/>
        <v/>
      </c>
      <c r="G132" s="47" t="str">
        <f>IF(OR($A132="",F132=""),"",ROUND(F132*Setup!F30,0))</f>
        <v/>
      </c>
      <c r="H132" s="47" t="str">
        <f>IF(OR($A132="",F132=""),"",ROUND(F132*Setup!G30,0))</f>
        <v/>
      </c>
      <c r="I132" s="47" t="str">
        <f>IF(OR($A132="",F132=""),"",ROUND(F132*Setup!H30,0))</f>
        <v/>
      </c>
      <c r="J132" s="47" t="str">
        <f>IF(OR($A132="",F132=""),"",ROUND(F132*Setup!I30,0))</f>
        <v/>
      </c>
      <c r="K132" s="47" t="str">
        <f>IF(OR($A132="",F132=""),"",ROUND(F132*Setup!J30,0))</f>
        <v/>
      </c>
      <c r="L132" s="47" t="str">
        <f>IF(OR($A132="",F132=""),"",ROUND(F132*Setup!K30,0))</f>
        <v/>
      </c>
      <c r="M132" s="47" t="str">
        <f>IF(OR($A132="",F132=""),"",ROUND(F132*Setup!L30,0))</f>
        <v/>
      </c>
      <c r="N132" s="45" t="str">
        <f t="shared" si="54"/>
        <v/>
      </c>
      <c r="O132" s="48" t="str">
        <f>IF(OR($A132="",N132=""),"",N132*Setup!$B$6/(1+Setup!$B$6))</f>
        <v/>
      </c>
      <c r="P132" s="45" t="str">
        <f t="shared" si="55"/>
        <v/>
      </c>
      <c r="Q132" s="49">
        <f>IF($A132="","",Setup!S30)</f>
        <v>50</v>
      </c>
      <c r="R132" s="49" t="str">
        <f t="shared" si="56"/>
        <v/>
      </c>
      <c r="S132" s="50" t="str">
        <f t="shared" si="57"/>
        <v/>
      </c>
    </row>
    <row r="133" spans="1:19" ht="15" customHeight="1" x14ac:dyDescent="0.2">
      <c r="A133" s="51" t="str">
        <f>IF(Setup!B31="","",Setup!B31)</f>
        <v/>
      </c>
      <c r="B133" s="52" t="str">
        <f>IF($A133="","",Setup!C31)</f>
        <v/>
      </c>
      <c r="C133" s="53" t="str">
        <f>IF($A133="","",Setup!D31)</f>
        <v/>
      </c>
      <c r="D133" s="54" t="str">
        <f>IF($A133="","",Setup!E31)</f>
        <v/>
      </c>
      <c r="E133" s="53" t="str">
        <f t="shared" si="52"/>
        <v/>
      </c>
      <c r="F133" s="55" t="str">
        <f t="shared" si="53"/>
        <v/>
      </c>
      <c r="G133" s="55" t="str">
        <f>IF(OR($A133="",F133=""),"",ROUND(F133*Setup!F31,0))</f>
        <v/>
      </c>
      <c r="H133" s="55" t="str">
        <f>IF(OR($A133="",F133=""),"",ROUND(F133*Setup!G31,0))</f>
        <v/>
      </c>
      <c r="I133" s="55" t="str">
        <f>IF(OR($A133="",F133=""),"",ROUND(F133*Setup!H31,0))</f>
        <v/>
      </c>
      <c r="J133" s="55" t="str">
        <f>IF(OR($A133="",F133=""),"",ROUND(F133*Setup!I31,0))</f>
        <v/>
      </c>
      <c r="K133" s="55" t="str">
        <f>IF(OR($A133="",F133=""),"",ROUND(F133*Setup!J31,0))</f>
        <v/>
      </c>
      <c r="L133" s="55" t="str">
        <f>IF(OR($A133="",F133=""),"",ROUND(F133*Setup!K31,0))</f>
        <v/>
      </c>
      <c r="M133" s="55" t="str">
        <f>IF(OR($A133="",F133=""),"",ROUND(F133*Setup!L31,0))</f>
        <v/>
      </c>
      <c r="N133" s="53" t="str">
        <f t="shared" si="54"/>
        <v/>
      </c>
      <c r="O133" s="56" t="str">
        <f>IF(OR($A133="",N133=""),"",N133*Setup!$B$6/(1+Setup!$B$6))</f>
        <v/>
      </c>
      <c r="P133" s="53" t="str">
        <f t="shared" si="55"/>
        <v/>
      </c>
      <c r="Q133" s="57" t="str">
        <f>IF($A133="","",Setup!S31)</f>
        <v/>
      </c>
      <c r="R133" s="57" t="str">
        <f t="shared" si="56"/>
        <v/>
      </c>
      <c r="S133" s="58" t="str">
        <f t="shared" si="57"/>
        <v/>
      </c>
    </row>
    <row r="134" spans="1:19" ht="15" customHeight="1" x14ac:dyDescent="0.2">
      <c r="A134" s="43" t="str">
        <f>IF(Setup!B32="","",Setup!B32)</f>
        <v/>
      </c>
      <c r="B134" s="44" t="str">
        <f>IF($A134="","",Setup!C32)</f>
        <v/>
      </c>
      <c r="C134" s="45" t="str">
        <f>IF($A134="","",Setup!D32)</f>
        <v/>
      </c>
      <c r="D134" s="46" t="str">
        <f>IF($A134="","",Setup!E32)</f>
        <v/>
      </c>
      <c r="E134" s="45" t="str">
        <f t="shared" si="52"/>
        <v/>
      </c>
      <c r="F134" s="47" t="str">
        <f t="shared" si="53"/>
        <v/>
      </c>
      <c r="G134" s="47" t="str">
        <f>IF(OR($A134="",F134=""),"",ROUND(F134*Setup!F32,0))</f>
        <v/>
      </c>
      <c r="H134" s="47" t="str">
        <f>IF(OR($A134="",F134=""),"",ROUND(F134*Setup!G32,0))</f>
        <v/>
      </c>
      <c r="I134" s="47" t="str">
        <f>IF(OR($A134="",F134=""),"",ROUND(F134*Setup!H32,0))</f>
        <v/>
      </c>
      <c r="J134" s="47" t="str">
        <f>IF(OR($A134="",F134=""),"",ROUND(F134*Setup!I32,0))</f>
        <v/>
      </c>
      <c r="K134" s="47" t="str">
        <f>IF(OR($A134="",F134=""),"",ROUND(F134*Setup!J32,0))</f>
        <v/>
      </c>
      <c r="L134" s="47" t="str">
        <f>IF(OR($A134="",F134=""),"",ROUND(F134*Setup!K32,0))</f>
        <v/>
      </c>
      <c r="M134" s="47" t="str">
        <f>IF(OR($A134="",F134=""),"",ROUND(F134*Setup!L32,0))</f>
        <v/>
      </c>
      <c r="N134" s="45" t="str">
        <f t="shared" si="54"/>
        <v/>
      </c>
      <c r="O134" s="48" t="str">
        <f>IF(OR($A134="",N134=""),"",N134*Setup!$B$6/(1+Setup!$B$6))</f>
        <v/>
      </c>
      <c r="P134" s="45" t="str">
        <f t="shared" si="55"/>
        <v/>
      </c>
      <c r="Q134" s="49" t="str">
        <f>IF($A134="","",Setup!S32)</f>
        <v/>
      </c>
      <c r="R134" s="49" t="str">
        <f t="shared" si="56"/>
        <v/>
      </c>
      <c r="S134" s="50" t="str">
        <f t="shared" si="57"/>
        <v/>
      </c>
    </row>
    <row r="135" spans="1:19" ht="15" customHeight="1" x14ac:dyDescent="0.2">
      <c r="A135" s="51" t="str">
        <f>IF(Setup!B33="","",Setup!B33)</f>
        <v/>
      </c>
      <c r="B135" s="52" t="str">
        <f>IF($A135="","",Setup!C33)</f>
        <v/>
      </c>
      <c r="C135" s="53" t="str">
        <f>IF($A135="","",Setup!D33)</f>
        <v/>
      </c>
      <c r="D135" s="54" t="str">
        <f>IF($A135="","",Setup!E33)</f>
        <v/>
      </c>
      <c r="E135" s="53" t="str">
        <f t="shared" si="52"/>
        <v/>
      </c>
      <c r="F135" s="55" t="str">
        <f t="shared" si="53"/>
        <v/>
      </c>
      <c r="G135" s="55" t="str">
        <f>IF(OR($A135="",F135=""),"",ROUND(F135*Setup!F33,0))</f>
        <v/>
      </c>
      <c r="H135" s="55" t="str">
        <f>IF(OR($A135="",F135=""),"",ROUND(F135*Setup!G33,0))</f>
        <v/>
      </c>
      <c r="I135" s="55" t="str">
        <f>IF(OR($A135="",F135=""),"",ROUND(F135*Setup!H33,0))</f>
        <v/>
      </c>
      <c r="J135" s="55" t="str">
        <f>IF(OR($A135="",F135=""),"",ROUND(F135*Setup!I33,0))</f>
        <v/>
      </c>
      <c r="K135" s="55" t="str">
        <f>IF(OR($A135="",F135=""),"",ROUND(F135*Setup!J33,0))</f>
        <v/>
      </c>
      <c r="L135" s="55" t="str">
        <f>IF(OR($A135="",F135=""),"",ROUND(F135*Setup!K33,0))</f>
        <v/>
      </c>
      <c r="M135" s="55" t="str">
        <f>IF(OR($A135="",F135=""),"",ROUND(F135*Setup!L33,0))</f>
        <v/>
      </c>
      <c r="N135" s="53" t="str">
        <f t="shared" si="54"/>
        <v/>
      </c>
      <c r="O135" s="56" t="str">
        <f>IF(OR($A135="",N135=""),"",N135*Setup!$B$6/(1+Setup!$B$6))</f>
        <v/>
      </c>
      <c r="P135" s="53" t="str">
        <f t="shared" si="55"/>
        <v/>
      </c>
      <c r="Q135" s="57" t="str">
        <f>IF($A135="","",Setup!S33)</f>
        <v/>
      </c>
      <c r="R135" s="57" t="str">
        <f t="shared" si="56"/>
        <v/>
      </c>
      <c r="S135" s="58" t="str">
        <f t="shared" si="57"/>
        <v/>
      </c>
    </row>
    <row r="136" spans="1:19" ht="15" customHeight="1" x14ac:dyDescent="0.2">
      <c r="A136" s="43" t="str">
        <f>IF(Setup!B34="","",Setup!B34)</f>
        <v/>
      </c>
      <c r="B136" s="44" t="str">
        <f>IF($A136="","",Setup!C34)</f>
        <v/>
      </c>
      <c r="C136" s="45" t="str">
        <f>IF($A136="","",Setup!D34)</f>
        <v/>
      </c>
      <c r="D136" s="46" t="str">
        <f>IF($A136="","",Setup!E34)</f>
        <v/>
      </c>
      <c r="E136" s="45" t="str">
        <f t="shared" si="52"/>
        <v/>
      </c>
      <c r="F136" s="47" t="str">
        <f t="shared" si="53"/>
        <v/>
      </c>
      <c r="G136" s="47" t="str">
        <f>IF(OR($A136="",F136=""),"",ROUND(F136*Setup!F34,0))</f>
        <v/>
      </c>
      <c r="H136" s="47" t="str">
        <f>IF(OR($A136="",F136=""),"",ROUND(F136*Setup!G34,0))</f>
        <v/>
      </c>
      <c r="I136" s="47" t="str">
        <f>IF(OR($A136="",F136=""),"",ROUND(F136*Setup!H34,0))</f>
        <v/>
      </c>
      <c r="J136" s="47" t="str">
        <f>IF(OR($A136="",F136=""),"",ROUND(F136*Setup!I34,0))</f>
        <v/>
      </c>
      <c r="K136" s="47" t="str">
        <f>IF(OR($A136="",F136=""),"",ROUND(F136*Setup!J34,0))</f>
        <v/>
      </c>
      <c r="L136" s="47" t="str">
        <f>IF(OR($A136="",F136=""),"",ROUND(F136*Setup!K34,0))</f>
        <v/>
      </c>
      <c r="M136" s="47" t="str">
        <f>IF(OR($A136="",F136=""),"",ROUND(F136*Setup!L34,0))</f>
        <v/>
      </c>
      <c r="N136" s="45" t="str">
        <f t="shared" si="54"/>
        <v/>
      </c>
      <c r="O136" s="48" t="str">
        <f>IF(OR($A136="",N136=""),"",N136*Setup!$B$6/(1+Setup!$B$6))</f>
        <v/>
      </c>
      <c r="P136" s="45" t="str">
        <f t="shared" si="55"/>
        <v/>
      </c>
      <c r="Q136" s="49" t="str">
        <f>IF($A136="","",Setup!S34)</f>
        <v/>
      </c>
      <c r="R136" s="49" t="str">
        <f t="shared" si="56"/>
        <v/>
      </c>
      <c r="S136" s="50" t="str">
        <f t="shared" si="57"/>
        <v/>
      </c>
    </row>
    <row r="137" spans="1:19" ht="15" customHeight="1" x14ac:dyDescent="0.2">
      <c r="A137" s="51" t="str">
        <f>IF(Setup!B35="","",Setup!B35)</f>
        <v/>
      </c>
      <c r="B137" s="52" t="str">
        <f>IF($A137="","",Setup!C35)</f>
        <v/>
      </c>
      <c r="C137" s="53" t="str">
        <f>IF($A137="","",Setup!D35)</f>
        <v/>
      </c>
      <c r="D137" s="54" t="str">
        <f>IF($A137="","",Setup!E35)</f>
        <v/>
      </c>
      <c r="E137" s="53" t="str">
        <f t="shared" si="52"/>
        <v/>
      </c>
      <c r="F137" s="55" t="str">
        <f t="shared" si="53"/>
        <v/>
      </c>
      <c r="G137" s="55" t="str">
        <f>IF(OR($A137="",F137=""),"",ROUND(F137*Setup!F35,0))</f>
        <v/>
      </c>
      <c r="H137" s="55" t="str">
        <f>IF(OR($A137="",F137=""),"",ROUND(F137*Setup!G35,0))</f>
        <v/>
      </c>
      <c r="I137" s="55" t="str">
        <f>IF(OR($A137="",F137=""),"",ROUND(F137*Setup!H35,0))</f>
        <v/>
      </c>
      <c r="J137" s="55" t="str">
        <f>IF(OR($A137="",F137=""),"",ROUND(F137*Setup!I35,0))</f>
        <v/>
      </c>
      <c r="K137" s="55" t="str">
        <f>IF(OR($A137="",F137=""),"",ROUND(F137*Setup!J35,0))</f>
        <v/>
      </c>
      <c r="L137" s="55" t="str">
        <f>IF(OR($A137="",F137=""),"",ROUND(F137*Setup!K35,0))</f>
        <v/>
      </c>
      <c r="M137" s="55" t="str">
        <f>IF(OR($A137="",F137=""),"",ROUND(F137*Setup!L35,0))</f>
        <v/>
      </c>
      <c r="N137" s="53" t="str">
        <f t="shared" si="54"/>
        <v/>
      </c>
      <c r="O137" s="56" t="str">
        <f>IF(OR($A137="",N137=""),"",N137*Setup!$B$6/(1+Setup!$B$6))</f>
        <v/>
      </c>
      <c r="P137" s="53" t="str">
        <f t="shared" si="55"/>
        <v/>
      </c>
      <c r="Q137" s="57" t="str">
        <f>IF($A137="","",Setup!S35)</f>
        <v/>
      </c>
      <c r="R137" s="57" t="str">
        <f t="shared" si="56"/>
        <v/>
      </c>
      <c r="S137" s="58" t="str">
        <f t="shared" si="57"/>
        <v/>
      </c>
    </row>
    <row r="138" spans="1:19" ht="15" customHeight="1" x14ac:dyDescent="0.2">
      <c r="A138" s="43" t="str">
        <f>IF(Setup!B36="","",Setup!B36)</f>
        <v/>
      </c>
      <c r="B138" s="44" t="str">
        <f>IF($A138="","",Setup!C36)</f>
        <v/>
      </c>
      <c r="C138" s="45" t="str">
        <f>IF($A138="","",Setup!D36)</f>
        <v/>
      </c>
      <c r="D138" s="46" t="str">
        <f>IF($A138="","",Setup!E36)</f>
        <v/>
      </c>
      <c r="E138" s="45" t="str">
        <f t="shared" si="52"/>
        <v/>
      </c>
      <c r="F138" s="47" t="str">
        <f t="shared" si="53"/>
        <v/>
      </c>
      <c r="G138" s="47" t="str">
        <f>IF(OR($A138="",F138=""),"",ROUND(F138*Setup!F36,0))</f>
        <v/>
      </c>
      <c r="H138" s="47" t="str">
        <f>IF(OR($A138="",F138=""),"",ROUND(F138*Setup!G36,0))</f>
        <v/>
      </c>
      <c r="I138" s="47" t="str">
        <f>IF(OR($A138="",F138=""),"",ROUND(F138*Setup!H36,0))</f>
        <v/>
      </c>
      <c r="J138" s="47" t="str">
        <f>IF(OR($A138="",F138=""),"",ROUND(F138*Setup!I36,0))</f>
        <v/>
      </c>
      <c r="K138" s="47" t="str">
        <f>IF(OR($A138="",F138=""),"",ROUND(F138*Setup!J36,0))</f>
        <v/>
      </c>
      <c r="L138" s="47" t="str">
        <f>IF(OR($A138="",F138=""),"",ROUND(F138*Setup!K36,0))</f>
        <v/>
      </c>
      <c r="M138" s="47" t="str">
        <f>IF(OR($A138="",F138=""),"",ROUND(F138*Setup!L36,0))</f>
        <v/>
      </c>
      <c r="N138" s="45" t="str">
        <f t="shared" si="54"/>
        <v/>
      </c>
      <c r="O138" s="48" t="str">
        <f>IF(OR($A138="",N138=""),"",N138*Setup!$B$6/(1+Setup!$B$6))</f>
        <v/>
      </c>
      <c r="P138" s="45" t="str">
        <f t="shared" si="55"/>
        <v/>
      </c>
      <c r="Q138" s="49" t="str">
        <f>IF($A138="","",Setup!S36)</f>
        <v/>
      </c>
      <c r="R138" s="49" t="str">
        <f t="shared" si="56"/>
        <v/>
      </c>
      <c r="S138" s="50" t="str">
        <f t="shared" si="57"/>
        <v/>
      </c>
    </row>
    <row r="139" spans="1:19" ht="15" customHeight="1" x14ac:dyDescent="0.2">
      <c r="A139" s="51" t="str">
        <f>IF(Setup!B37="","",Setup!B37)</f>
        <v/>
      </c>
      <c r="B139" s="52" t="str">
        <f>IF($A139="","",Setup!C37)</f>
        <v/>
      </c>
      <c r="C139" s="53" t="str">
        <f>IF($A139="","",Setup!D37)</f>
        <v/>
      </c>
      <c r="D139" s="54" t="str">
        <f>IF($A139="","",Setup!E37)</f>
        <v/>
      </c>
      <c r="E139" s="53" t="str">
        <f t="shared" si="52"/>
        <v/>
      </c>
      <c r="F139" s="55" t="str">
        <f t="shared" si="53"/>
        <v/>
      </c>
      <c r="G139" s="55" t="str">
        <f>IF(OR($A139="",F139=""),"",ROUND(F139*Setup!F37,0))</f>
        <v/>
      </c>
      <c r="H139" s="55" t="str">
        <f>IF(OR($A139="",F139=""),"",ROUND(F139*Setup!G37,0))</f>
        <v/>
      </c>
      <c r="I139" s="55" t="str">
        <f>IF(OR($A139="",F139=""),"",ROUND(F139*Setup!H37,0))</f>
        <v/>
      </c>
      <c r="J139" s="55" t="str">
        <f>IF(OR($A139="",F139=""),"",ROUND(F139*Setup!I37,0))</f>
        <v/>
      </c>
      <c r="K139" s="55" t="str">
        <f>IF(OR($A139="",F139=""),"",ROUND(F139*Setup!J37,0))</f>
        <v/>
      </c>
      <c r="L139" s="55" t="str">
        <f>IF(OR($A139="",F139=""),"",ROUND(F139*Setup!K37,0))</f>
        <v/>
      </c>
      <c r="M139" s="55" t="str">
        <f>IF(OR($A139="",F139=""),"",ROUND(F139*Setup!L37,0))</f>
        <v/>
      </c>
      <c r="N139" s="53" t="str">
        <f t="shared" si="54"/>
        <v/>
      </c>
      <c r="O139" s="56" t="str">
        <f>IF(OR($A139="",N139=""),"",N139*Setup!$B$6/(1+Setup!$B$6))</f>
        <v/>
      </c>
      <c r="P139" s="53" t="str">
        <f t="shared" si="55"/>
        <v/>
      </c>
      <c r="Q139" s="57" t="str">
        <f>IF($A139="","",Setup!S37)</f>
        <v/>
      </c>
      <c r="R139" s="57" t="str">
        <f t="shared" si="56"/>
        <v/>
      </c>
      <c r="S139" s="58" t="str">
        <f t="shared" si="57"/>
        <v/>
      </c>
    </row>
    <row r="140" spans="1:19" ht="15" customHeight="1" x14ac:dyDescent="0.2">
      <c r="A140" s="43" t="str">
        <f>IF(Setup!B38="","",Setup!B38)</f>
        <v/>
      </c>
      <c r="B140" s="44" t="str">
        <f>IF($A140="","",Setup!C38)</f>
        <v/>
      </c>
      <c r="C140" s="45" t="str">
        <f>IF($A140="","",Setup!D38)</f>
        <v/>
      </c>
      <c r="D140" s="46" t="str">
        <f>IF($A140="","",Setup!E38)</f>
        <v/>
      </c>
      <c r="E140" s="45" t="str">
        <f t="shared" si="52"/>
        <v/>
      </c>
      <c r="F140" s="47" t="str">
        <f t="shared" si="53"/>
        <v/>
      </c>
      <c r="G140" s="47" t="str">
        <f>IF(OR($A140="",F140=""),"",ROUND(F140*Setup!F38,0))</f>
        <v/>
      </c>
      <c r="H140" s="47" t="str">
        <f>IF(OR($A140="",F140=""),"",ROUND(F140*Setup!G38,0))</f>
        <v/>
      </c>
      <c r="I140" s="47" t="str">
        <f>IF(OR($A140="",F140=""),"",ROUND(F140*Setup!H38,0))</f>
        <v/>
      </c>
      <c r="J140" s="47" t="str">
        <f>IF(OR($A140="",F140=""),"",ROUND(F140*Setup!I38,0))</f>
        <v/>
      </c>
      <c r="K140" s="47" t="str">
        <f>IF(OR($A140="",F140=""),"",ROUND(F140*Setup!J38,0))</f>
        <v/>
      </c>
      <c r="L140" s="47" t="str">
        <f>IF(OR($A140="",F140=""),"",ROUND(F140*Setup!K38,0))</f>
        <v/>
      </c>
      <c r="M140" s="47" t="str">
        <f>IF(OR($A140="",F140=""),"",ROUND(F140*Setup!L38,0))</f>
        <v/>
      </c>
      <c r="N140" s="45" t="str">
        <f t="shared" si="54"/>
        <v/>
      </c>
      <c r="O140" s="48" t="str">
        <f>IF(OR($A140="",N140=""),"",N140*Setup!$B$6/(1+Setup!$B$6))</f>
        <v/>
      </c>
      <c r="P140" s="45" t="str">
        <f t="shared" si="55"/>
        <v/>
      </c>
      <c r="Q140" s="49" t="str">
        <f>IF($A140="","",Setup!S38)</f>
        <v/>
      </c>
      <c r="R140" s="49" t="str">
        <f t="shared" si="56"/>
        <v/>
      </c>
      <c r="S140" s="50" t="str">
        <f t="shared" si="57"/>
        <v/>
      </c>
    </row>
    <row r="141" spans="1:19" ht="15" customHeight="1" x14ac:dyDescent="0.2">
      <c r="A141" s="51" t="str">
        <f>IF(Setup!B39="","",Setup!B39)</f>
        <v/>
      </c>
      <c r="B141" s="52" t="str">
        <f>IF($A141="","",Setup!C39)</f>
        <v/>
      </c>
      <c r="C141" s="53" t="str">
        <f>IF($A141="","",Setup!D39)</f>
        <v/>
      </c>
      <c r="D141" s="54" t="str">
        <f>IF($A141="","",Setup!E39)</f>
        <v/>
      </c>
      <c r="E141" s="53" t="str">
        <f t="shared" si="52"/>
        <v/>
      </c>
      <c r="F141" s="55" t="str">
        <f t="shared" si="53"/>
        <v/>
      </c>
      <c r="G141" s="55" t="str">
        <f>IF(OR($A141="",F141=""),"",ROUND(F141*Setup!F39,0))</f>
        <v/>
      </c>
      <c r="H141" s="55" t="str">
        <f>IF(OR($A141="",F141=""),"",ROUND(F141*Setup!G39,0))</f>
        <v/>
      </c>
      <c r="I141" s="55" t="str">
        <f>IF(OR($A141="",F141=""),"",ROUND(F141*Setup!H39,0))</f>
        <v/>
      </c>
      <c r="J141" s="55" t="str">
        <f>IF(OR($A141="",F141=""),"",ROUND(F141*Setup!I39,0))</f>
        <v/>
      </c>
      <c r="K141" s="55" t="str">
        <f>IF(OR($A141="",F141=""),"",ROUND(F141*Setup!J39,0))</f>
        <v/>
      </c>
      <c r="L141" s="55" t="str">
        <f>IF(OR($A141="",F141=""),"",ROUND(F141*Setup!K39,0))</f>
        <v/>
      </c>
      <c r="M141" s="55" t="str">
        <f>IF(OR($A141="",F141=""),"",ROUND(F141*Setup!L39,0))</f>
        <v/>
      </c>
      <c r="N141" s="53" t="str">
        <f t="shared" si="54"/>
        <v/>
      </c>
      <c r="O141" s="56" t="str">
        <f>IF(OR($A141="",N141=""),"",N141*Setup!$B$6/(1+Setup!$B$6))</f>
        <v/>
      </c>
      <c r="P141" s="53" t="str">
        <f t="shared" si="55"/>
        <v/>
      </c>
      <c r="Q141" s="57" t="str">
        <f>IF($A141="","",Setup!S39)</f>
        <v/>
      </c>
      <c r="R141" s="57" t="str">
        <f t="shared" si="56"/>
        <v/>
      </c>
      <c r="S141" s="58" t="str">
        <f t="shared" si="57"/>
        <v/>
      </c>
    </row>
    <row r="142" spans="1:19" ht="15" customHeight="1" x14ac:dyDescent="0.2">
      <c r="A142" s="43" t="str">
        <f>IF(Setup!B40="","",Setup!B40)</f>
        <v/>
      </c>
      <c r="B142" s="44" t="str">
        <f>IF($A142="","",Setup!C40)</f>
        <v/>
      </c>
      <c r="C142" s="45" t="str">
        <f>IF($A142="","",Setup!D40)</f>
        <v/>
      </c>
      <c r="D142" s="46" t="str">
        <f>IF($A142="","",Setup!E40)</f>
        <v/>
      </c>
      <c r="E142" s="45" t="str">
        <f t="shared" si="52"/>
        <v/>
      </c>
      <c r="F142" s="47" t="str">
        <f t="shared" si="53"/>
        <v/>
      </c>
      <c r="G142" s="47" t="str">
        <f>IF(OR($A142="",F142=""),"",ROUND(F142*Setup!F40,0))</f>
        <v/>
      </c>
      <c r="H142" s="47" t="str">
        <f>IF(OR($A142="",F142=""),"",ROUND(F142*Setup!G40,0))</f>
        <v/>
      </c>
      <c r="I142" s="47" t="str">
        <f>IF(OR($A142="",F142=""),"",ROUND(F142*Setup!H40,0))</f>
        <v/>
      </c>
      <c r="J142" s="47" t="str">
        <f>IF(OR($A142="",F142=""),"",ROUND(F142*Setup!I40,0))</f>
        <v/>
      </c>
      <c r="K142" s="47" t="str">
        <f>IF(OR($A142="",F142=""),"",ROUND(F142*Setup!J40,0))</f>
        <v/>
      </c>
      <c r="L142" s="47" t="str">
        <f>IF(OR($A142="",F142=""),"",ROUND(F142*Setup!K40,0))</f>
        <v/>
      </c>
      <c r="M142" s="47" t="str">
        <f>IF(OR($A142="",F142=""),"",ROUND(F142*Setup!L40,0))</f>
        <v/>
      </c>
      <c r="N142" s="45" t="str">
        <f t="shared" si="54"/>
        <v/>
      </c>
      <c r="O142" s="48" t="str">
        <f>IF(OR($A142="",N142=""),"",N142*Setup!$B$6/(1+Setup!$B$6))</f>
        <v/>
      </c>
      <c r="P142" s="45" t="str">
        <f t="shared" si="55"/>
        <v/>
      </c>
      <c r="Q142" s="49" t="str">
        <f>IF($A142="","",Setup!S40)</f>
        <v/>
      </c>
      <c r="R142" s="49" t="str">
        <f t="shared" si="56"/>
        <v/>
      </c>
      <c r="S142" s="50" t="str">
        <f t="shared" si="57"/>
        <v/>
      </c>
    </row>
    <row r="143" spans="1:19" ht="15" customHeight="1" x14ac:dyDescent="0.2">
      <c r="A143" s="59" t="s">
        <v>100</v>
      </c>
      <c r="B143" s="26"/>
      <c r="C143" s="26"/>
      <c r="D143" s="26"/>
      <c r="E143" s="26">
        <f t="shared" ref="E143:P143" si="58">SUM(E128:E142)</f>
        <v>0</v>
      </c>
      <c r="F143" s="25">
        <f t="shared" si="58"/>
        <v>0</v>
      </c>
      <c r="G143" s="25">
        <f t="shared" si="58"/>
        <v>0</v>
      </c>
      <c r="H143" s="25">
        <f t="shared" si="58"/>
        <v>0</v>
      </c>
      <c r="I143" s="25">
        <f t="shared" si="58"/>
        <v>0</v>
      </c>
      <c r="J143" s="25">
        <f t="shared" si="58"/>
        <v>0</v>
      </c>
      <c r="K143" s="25">
        <f t="shared" si="58"/>
        <v>0</v>
      </c>
      <c r="L143" s="25">
        <f t="shared" si="58"/>
        <v>0</v>
      </c>
      <c r="M143" s="25">
        <f t="shared" si="58"/>
        <v>0</v>
      </c>
      <c r="N143" s="26">
        <f t="shared" si="58"/>
        <v>0</v>
      </c>
      <c r="O143" s="26">
        <f t="shared" si="58"/>
        <v>0</v>
      </c>
      <c r="P143" s="26">
        <f t="shared" si="58"/>
        <v>0</v>
      </c>
      <c r="Q143" s="26"/>
      <c r="R143" s="26">
        <f>SUM(R128:R142)</f>
        <v>0</v>
      </c>
      <c r="S143" s="26">
        <f>SUM(S128:S142)</f>
        <v>0</v>
      </c>
    </row>
    <row r="146" spans="1:19" ht="15.75" customHeight="1" x14ac:dyDescent="0.2">
      <c r="A146" s="95" t="str">
        <f>IF(Setup!C15="","Event 7: Not configured",UPPER(Setup!C15&amp;" - "&amp;Setup!D15&amp;" | "&amp;TEXT(Setup!B15,"DD MMM YYYY")))</f>
        <v>Event 7: Not configured</v>
      </c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4" t="s">
        <v>93</v>
      </c>
      <c r="O146" s="93"/>
      <c r="P146" s="93"/>
      <c r="Q146" s="92" t="str">
        <f>Setup!I15</f>
        <v/>
      </c>
      <c r="R146" s="93"/>
      <c r="S146" s="93"/>
    </row>
    <row r="147" spans="1:19" ht="15" customHeight="1" x14ac:dyDescent="0.2">
      <c r="A147" s="60" t="s">
        <v>94</v>
      </c>
      <c r="B147" s="61">
        <f>Setup!F15</f>
        <v>0</v>
      </c>
      <c r="C147" s="62"/>
      <c r="D147" s="60" t="s">
        <v>95</v>
      </c>
      <c r="E147" s="61">
        <f>Setup!G15</f>
        <v>0</v>
      </c>
      <c r="F147" s="62"/>
      <c r="G147" s="60" t="s">
        <v>96</v>
      </c>
      <c r="H147" s="63">
        <f>Setup!H15</f>
        <v>0</v>
      </c>
      <c r="I147" s="62"/>
      <c r="J147" s="60" t="s">
        <v>13</v>
      </c>
      <c r="K147" s="64">
        <f>Setup!B6</f>
        <v>0.15</v>
      </c>
      <c r="L147" s="62"/>
      <c r="M147" s="60" t="s">
        <v>97</v>
      </c>
      <c r="N147" s="63">
        <f>Setup!J15</f>
        <v>0</v>
      </c>
      <c r="O147" s="62"/>
      <c r="P147" s="60" t="s">
        <v>98</v>
      </c>
      <c r="Q147" s="63">
        <f>Setup!L15</f>
        <v>0</v>
      </c>
      <c r="R147" s="60" t="s">
        <v>99</v>
      </c>
      <c r="S147" s="64">
        <f>Setup!M15</f>
        <v>0</v>
      </c>
    </row>
    <row r="148" spans="1:19" ht="25.5" customHeight="1" x14ac:dyDescent="0.2">
      <c r="A148" s="28" t="s">
        <v>74</v>
      </c>
      <c r="B148" s="28" t="s">
        <v>49</v>
      </c>
      <c r="C148" s="28" t="s">
        <v>75</v>
      </c>
      <c r="D148" s="28" t="s">
        <v>76</v>
      </c>
      <c r="E148" s="28" t="s">
        <v>77</v>
      </c>
      <c r="F148" s="28" t="s">
        <v>78</v>
      </c>
      <c r="G148" s="28" t="s">
        <v>79</v>
      </c>
      <c r="H148" s="28" t="s">
        <v>80</v>
      </c>
      <c r="I148" s="28" t="s">
        <v>81</v>
      </c>
      <c r="J148" s="28" t="s">
        <v>82</v>
      </c>
      <c r="K148" s="28" t="s">
        <v>83</v>
      </c>
      <c r="L148" s="28" t="s">
        <v>84</v>
      </c>
      <c r="M148" s="28" t="s">
        <v>85</v>
      </c>
      <c r="N148" s="28" t="s">
        <v>86</v>
      </c>
      <c r="O148" s="41" t="s">
        <v>87</v>
      </c>
      <c r="P148" s="42" t="s">
        <v>88</v>
      </c>
      <c r="Q148" s="29" t="s">
        <v>89</v>
      </c>
      <c r="R148" s="29" t="s">
        <v>90</v>
      </c>
      <c r="S148" s="29" t="s">
        <v>91</v>
      </c>
    </row>
    <row r="149" spans="1:19" ht="15" customHeight="1" x14ac:dyDescent="0.2">
      <c r="A149" s="43" t="str">
        <f>IF(Setup!B26="","",Setup!B26)</f>
        <v>Sing Song Black tee</v>
      </c>
      <c r="B149" s="44" t="str">
        <f>IF($A149="","",Setup!C26)</f>
        <v>Apparel</v>
      </c>
      <c r="C149" s="45">
        <f>IF($A149="","",Setup!D26)</f>
        <v>550</v>
      </c>
      <c r="D149" s="46">
        <f>IF($A149="","",Setup!E26)</f>
        <v>0.3</v>
      </c>
      <c r="E149" s="45" t="str">
        <f t="shared" ref="E149:E163" si="59">IF(OR($A149="",$Q$146=""),"",$Q$146*D149)</f>
        <v/>
      </c>
      <c r="F149" s="47" t="str">
        <f t="shared" ref="F149:F163" si="60">IF(OR($A149="",C149=0,E149=""),"",ROUNDUP(E149/C149,0))</f>
        <v/>
      </c>
      <c r="G149" s="47" t="str">
        <f>IF(OR($A149="",F149=""),"",ROUND(F149*Setup!F26,0))</f>
        <v/>
      </c>
      <c r="H149" s="47" t="str">
        <f>IF(OR($A149="",F149=""),"",ROUND(F149*Setup!G26,0))</f>
        <v/>
      </c>
      <c r="I149" s="47" t="str">
        <f>IF(OR($A149="",F149=""),"",ROUND(F149*Setup!H26,0))</f>
        <v/>
      </c>
      <c r="J149" s="47" t="str">
        <f>IF(OR($A149="",F149=""),"",ROUND(F149*Setup!I26,0))</f>
        <v/>
      </c>
      <c r="K149" s="47" t="str">
        <f>IF(OR($A149="",F149=""),"",ROUND(F149*Setup!J26,0))</f>
        <v/>
      </c>
      <c r="L149" s="47" t="str">
        <f>IF(OR($A149="",F149=""),"",ROUND(F149*Setup!K26,0))</f>
        <v/>
      </c>
      <c r="M149" s="47" t="str">
        <f>IF(OR($A149="",F149=""),"",ROUND(F149*Setup!L26,0))</f>
        <v/>
      </c>
      <c r="N149" s="45" t="str">
        <f t="shared" ref="N149:N163" si="61">IF(OR($A149="",F149=""),"",F149*C149)</f>
        <v/>
      </c>
      <c r="O149" s="48" t="str">
        <f>IF(OR($A149="",N149=""),"",N149*Setup!$B$6/(1+Setup!$B$6))</f>
        <v/>
      </c>
      <c r="P149" s="45" t="str">
        <f t="shared" ref="P149:P163" si="62">IF(OR($A149="",N149=""),"",N149-O149)</f>
        <v/>
      </c>
      <c r="Q149" s="49">
        <f>IF($A149="","",Setup!S26)</f>
        <v>169</v>
      </c>
      <c r="R149" s="49" t="str">
        <f t="shared" ref="R149:R163" si="63">IF(OR($A149="",F149="",Q149=""),"",F149*Q149)</f>
        <v/>
      </c>
      <c r="S149" s="50" t="str">
        <f t="shared" ref="S149:S163" si="64">IF(OR($A149="",P149="",R149=""),"",P149-R149)</f>
        <v/>
      </c>
    </row>
    <row r="150" spans="1:19" ht="15" customHeight="1" x14ac:dyDescent="0.2">
      <c r="A150" s="51" t="str">
        <f>IF(Setup!B27="","",Setup!B27)</f>
        <v>Kingston Black Tee</v>
      </c>
      <c r="B150" s="52" t="str">
        <f>IF($A150="","",Setup!C27)</f>
        <v>Apparel</v>
      </c>
      <c r="C150" s="53">
        <f>IF($A150="","",Setup!D27)</f>
        <v>550</v>
      </c>
      <c r="D150" s="54">
        <f>IF($A150="","",Setup!E27)</f>
        <v>0.2</v>
      </c>
      <c r="E150" s="53" t="str">
        <f t="shared" si="59"/>
        <v/>
      </c>
      <c r="F150" s="55" t="str">
        <f t="shared" si="60"/>
        <v/>
      </c>
      <c r="G150" s="55" t="str">
        <f>IF(OR($A150="",F150=""),"",ROUND(F150*Setup!F27,0))</f>
        <v/>
      </c>
      <c r="H150" s="55" t="str">
        <f>IF(OR($A150="",F150=""),"",ROUND(F150*Setup!G27,0))</f>
        <v/>
      </c>
      <c r="I150" s="55" t="str">
        <f>IF(OR($A150="",F150=""),"",ROUND(F150*Setup!H27,0))</f>
        <v/>
      </c>
      <c r="J150" s="55" t="str">
        <f>IF(OR($A150="",F150=""),"",ROUND(F150*Setup!I27,0))</f>
        <v/>
      </c>
      <c r="K150" s="55" t="str">
        <f>IF(OR($A150="",F150=""),"",ROUND(F150*Setup!J27,0))</f>
        <v/>
      </c>
      <c r="L150" s="55" t="str">
        <f>IF(OR($A150="",F150=""),"",ROUND(F150*Setup!K27,0))</f>
        <v/>
      </c>
      <c r="M150" s="55" t="str">
        <f>IF(OR($A150="",F150=""),"",ROUND(F150*Setup!L27,0))</f>
        <v/>
      </c>
      <c r="N150" s="53" t="str">
        <f t="shared" si="61"/>
        <v/>
      </c>
      <c r="O150" s="56" t="str">
        <f>IF(OR($A150="",N150=""),"",N150*Setup!$B$6/(1+Setup!$B$6))</f>
        <v/>
      </c>
      <c r="P150" s="53" t="str">
        <f t="shared" si="62"/>
        <v/>
      </c>
      <c r="Q150" s="57">
        <f>IF($A150="","",Setup!S27)</f>
        <v>169</v>
      </c>
      <c r="R150" s="57" t="str">
        <f t="shared" si="63"/>
        <v/>
      </c>
      <c r="S150" s="58" t="str">
        <f t="shared" si="64"/>
        <v/>
      </c>
    </row>
    <row r="151" spans="1:19" ht="15" customHeight="1" x14ac:dyDescent="0.2">
      <c r="A151" s="43" t="str">
        <f>IF(Setup!B28="","",Setup!B28)</f>
        <v>Red Red Wine White tee</v>
      </c>
      <c r="B151" s="44" t="str">
        <f>IF($A151="","",Setup!C28)</f>
        <v>Apparel</v>
      </c>
      <c r="C151" s="45">
        <f>IF($A151="","",Setup!D28)</f>
        <v>550</v>
      </c>
      <c r="D151" s="46">
        <f>IF($A151="","",Setup!E28)</f>
        <v>0.3</v>
      </c>
      <c r="E151" s="45" t="str">
        <f t="shared" si="59"/>
        <v/>
      </c>
      <c r="F151" s="47" t="str">
        <f t="shared" si="60"/>
        <v/>
      </c>
      <c r="G151" s="47" t="str">
        <f>IF(OR($A151="",F151=""),"",ROUND(F151*Setup!F28,0))</f>
        <v/>
      </c>
      <c r="H151" s="47" t="str">
        <f>IF(OR($A151="",F151=""),"",ROUND(F151*Setup!G28,0))</f>
        <v/>
      </c>
      <c r="I151" s="47" t="str">
        <f>IF(OR($A151="",F151=""),"",ROUND(F151*Setup!H28,0))</f>
        <v/>
      </c>
      <c r="J151" s="47" t="str">
        <f>IF(OR($A151="",F151=""),"",ROUND(F151*Setup!I28,0))</f>
        <v/>
      </c>
      <c r="K151" s="47" t="str">
        <f>IF(OR($A151="",F151=""),"",ROUND(F151*Setup!J28,0))</f>
        <v/>
      </c>
      <c r="L151" s="47" t="str">
        <f>IF(OR($A151="",F151=""),"",ROUND(F151*Setup!K28,0))</f>
        <v/>
      </c>
      <c r="M151" s="47" t="str">
        <f>IF(OR($A151="",F151=""),"",ROUND(F151*Setup!L28,0))</f>
        <v/>
      </c>
      <c r="N151" s="45" t="str">
        <f t="shared" si="61"/>
        <v/>
      </c>
      <c r="O151" s="48" t="str">
        <f>IF(OR($A151="",N151=""),"",N151*Setup!$B$6/(1+Setup!$B$6))</f>
        <v/>
      </c>
      <c r="P151" s="45" t="str">
        <f t="shared" si="62"/>
        <v/>
      </c>
      <c r="Q151" s="49">
        <f>IF($A151="","",Setup!S28)</f>
        <v>162</v>
      </c>
      <c r="R151" s="49" t="str">
        <f t="shared" si="63"/>
        <v/>
      </c>
      <c r="S151" s="50" t="str">
        <f t="shared" si="64"/>
        <v/>
      </c>
    </row>
    <row r="152" spans="1:19" ht="15" customHeight="1" x14ac:dyDescent="0.2">
      <c r="A152" s="51" t="str">
        <f>IF(Setup!B29="","",Setup!B29)</f>
        <v>Cap</v>
      </c>
      <c r="B152" s="52" t="str">
        <f>IF($A152="","",Setup!C29)</f>
        <v>Accessory</v>
      </c>
      <c r="C152" s="53">
        <f>IF($A152="","",Setup!D29)</f>
        <v>350</v>
      </c>
      <c r="D152" s="54">
        <f>IF($A152="","",Setup!E29)</f>
        <v>0.13</v>
      </c>
      <c r="E152" s="53" t="str">
        <f t="shared" si="59"/>
        <v/>
      </c>
      <c r="F152" s="55" t="str">
        <f t="shared" si="60"/>
        <v/>
      </c>
      <c r="G152" s="55" t="str">
        <f>IF(OR($A152="",F152=""),"",ROUND(F152*Setup!F29,0))</f>
        <v/>
      </c>
      <c r="H152" s="55" t="str">
        <f>IF(OR($A152="",F152=""),"",ROUND(F152*Setup!G29,0))</f>
        <v/>
      </c>
      <c r="I152" s="55" t="str">
        <f>IF(OR($A152="",F152=""),"",ROUND(F152*Setup!H29,0))</f>
        <v/>
      </c>
      <c r="J152" s="55" t="str">
        <f>IF(OR($A152="",F152=""),"",ROUND(F152*Setup!I29,0))</f>
        <v/>
      </c>
      <c r="K152" s="55" t="str">
        <f>IF(OR($A152="",F152=""),"",ROUND(F152*Setup!J29,0))</f>
        <v/>
      </c>
      <c r="L152" s="55" t="str">
        <f>IF(OR($A152="",F152=""),"",ROUND(F152*Setup!K29,0))</f>
        <v/>
      </c>
      <c r="M152" s="55" t="str">
        <f>IF(OR($A152="",F152=""),"",ROUND(F152*Setup!L29,0))</f>
        <v/>
      </c>
      <c r="N152" s="53" t="str">
        <f t="shared" si="61"/>
        <v/>
      </c>
      <c r="O152" s="56" t="str">
        <f>IF(OR($A152="",N152=""),"",N152*Setup!$B$6/(1+Setup!$B$6))</f>
        <v/>
      </c>
      <c r="P152" s="53" t="str">
        <f t="shared" si="62"/>
        <v/>
      </c>
      <c r="Q152" s="57">
        <f>IF($A152="","",Setup!S29)</f>
        <v>96</v>
      </c>
      <c r="R152" s="57" t="str">
        <f t="shared" si="63"/>
        <v/>
      </c>
      <c r="S152" s="58" t="str">
        <f t="shared" si="64"/>
        <v/>
      </c>
    </row>
    <row r="153" spans="1:19" ht="15" customHeight="1" x14ac:dyDescent="0.2">
      <c r="A153" s="43" t="str">
        <f>IF(Setup!B30="","",Setup!B30)</f>
        <v>Tote</v>
      </c>
      <c r="B153" s="44" t="str">
        <f>IF($A153="","",Setup!C30)</f>
        <v>Accessory</v>
      </c>
      <c r="C153" s="45">
        <f>IF($A153="","",Setup!D30)</f>
        <v>100</v>
      </c>
      <c r="D153" s="46">
        <f>IF($A153="","",Setup!E30)</f>
        <v>7.0000000000000007E-2</v>
      </c>
      <c r="E153" s="45" t="str">
        <f t="shared" si="59"/>
        <v/>
      </c>
      <c r="F153" s="47" t="str">
        <f t="shared" si="60"/>
        <v/>
      </c>
      <c r="G153" s="47" t="str">
        <f>IF(OR($A153="",F153=""),"",ROUND(F153*Setup!F30,0))</f>
        <v/>
      </c>
      <c r="H153" s="47" t="str">
        <f>IF(OR($A153="",F153=""),"",ROUND(F153*Setup!G30,0))</f>
        <v/>
      </c>
      <c r="I153" s="47" t="str">
        <f>IF(OR($A153="",F153=""),"",ROUND(F153*Setup!H30,0))</f>
        <v/>
      </c>
      <c r="J153" s="47" t="str">
        <f>IF(OR($A153="",F153=""),"",ROUND(F153*Setup!I30,0))</f>
        <v/>
      </c>
      <c r="K153" s="47" t="str">
        <f>IF(OR($A153="",F153=""),"",ROUND(F153*Setup!J30,0))</f>
        <v/>
      </c>
      <c r="L153" s="47" t="str">
        <f>IF(OR($A153="",F153=""),"",ROUND(F153*Setup!K30,0))</f>
        <v/>
      </c>
      <c r="M153" s="47" t="str">
        <f>IF(OR($A153="",F153=""),"",ROUND(F153*Setup!L30,0))</f>
        <v/>
      </c>
      <c r="N153" s="45" t="str">
        <f t="shared" si="61"/>
        <v/>
      </c>
      <c r="O153" s="48" t="str">
        <f>IF(OR($A153="",N153=""),"",N153*Setup!$B$6/(1+Setup!$B$6))</f>
        <v/>
      </c>
      <c r="P153" s="45" t="str">
        <f t="shared" si="62"/>
        <v/>
      </c>
      <c r="Q153" s="49">
        <f>IF($A153="","",Setup!S30)</f>
        <v>50</v>
      </c>
      <c r="R153" s="49" t="str">
        <f t="shared" si="63"/>
        <v/>
      </c>
      <c r="S153" s="50" t="str">
        <f t="shared" si="64"/>
        <v/>
      </c>
    </row>
    <row r="154" spans="1:19" ht="15" customHeight="1" x14ac:dyDescent="0.2">
      <c r="A154" s="51" t="str">
        <f>IF(Setup!B31="","",Setup!B31)</f>
        <v/>
      </c>
      <c r="B154" s="52" t="str">
        <f>IF($A154="","",Setup!C31)</f>
        <v/>
      </c>
      <c r="C154" s="53" t="str">
        <f>IF($A154="","",Setup!D31)</f>
        <v/>
      </c>
      <c r="D154" s="54" t="str">
        <f>IF($A154="","",Setup!E31)</f>
        <v/>
      </c>
      <c r="E154" s="53" t="str">
        <f t="shared" si="59"/>
        <v/>
      </c>
      <c r="F154" s="55" t="str">
        <f t="shared" si="60"/>
        <v/>
      </c>
      <c r="G154" s="55" t="str">
        <f>IF(OR($A154="",F154=""),"",ROUND(F154*Setup!F31,0))</f>
        <v/>
      </c>
      <c r="H154" s="55" t="str">
        <f>IF(OR($A154="",F154=""),"",ROUND(F154*Setup!G31,0))</f>
        <v/>
      </c>
      <c r="I154" s="55" t="str">
        <f>IF(OR($A154="",F154=""),"",ROUND(F154*Setup!H31,0))</f>
        <v/>
      </c>
      <c r="J154" s="55" t="str">
        <f>IF(OR($A154="",F154=""),"",ROUND(F154*Setup!I31,0))</f>
        <v/>
      </c>
      <c r="K154" s="55" t="str">
        <f>IF(OR($A154="",F154=""),"",ROUND(F154*Setup!J31,0))</f>
        <v/>
      </c>
      <c r="L154" s="55" t="str">
        <f>IF(OR($A154="",F154=""),"",ROUND(F154*Setup!K31,0))</f>
        <v/>
      </c>
      <c r="M154" s="55" t="str">
        <f>IF(OR($A154="",F154=""),"",ROUND(F154*Setup!L31,0))</f>
        <v/>
      </c>
      <c r="N154" s="53" t="str">
        <f t="shared" si="61"/>
        <v/>
      </c>
      <c r="O154" s="56" t="str">
        <f>IF(OR($A154="",N154=""),"",N154*Setup!$B$6/(1+Setup!$B$6))</f>
        <v/>
      </c>
      <c r="P154" s="53" t="str">
        <f t="shared" si="62"/>
        <v/>
      </c>
      <c r="Q154" s="57" t="str">
        <f>IF($A154="","",Setup!S31)</f>
        <v/>
      </c>
      <c r="R154" s="57" t="str">
        <f t="shared" si="63"/>
        <v/>
      </c>
      <c r="S154" s="58" t="str">
        <f t="shared" si="64"/>
        <v/>
      </c>
    </row>
    <row r="155" spans="1:19" ht="15" customHeight="1" x14ac:dyDescent="0.2">
      <c r="A155" s="43" t="str">
        <f>IF(Setup!B32="","",Setup!B32)</f>
        <v/>
      </c>
      <c r="B155" s="44" t="str">
        <f>IF($A155="","",Setup!C32)</f>
        <v/>
      </c>
      <c r="C155" s="45" t="str">
        <f>IF($A155="","",Setup!D32)</f>
        <v/>
      </c>
      <c r="D155" s="46" t="str">
        <f>IF($A155="","",Setup!E32)</f>
        <v/>
      </c>
      <c r="E155" s="45" t="str">
        <f t="shared" si="59"/>
        <v/>
      </c>
      <c r="F155" s="47" t="str">
        <f t="shared" si="60"/>
        <v/>
      </c>
      <c r="G155" s="47" t="str">
        <f>IF(OR($A155="",F155=""),"",ROUND(F155*Setup!F32,0))</f>
        <v/>
      </c>
      <c r="H155" s="47" t="str">
        <f>IF(OR($A155="",F155=""),"",ROUND(F155*Setup!G32,0))</f>
        <v/>
      </c>
      <c r="I155" s="47" t="str">
        <f>IF(OR($A155="",F155=""),"",ROUND(F155*Setup!H32,0))</f>
        <v/>
      </c>
      <c r="J155" s="47" t="str">
        <f>IF(OR($A155="",F155=""),"",ROUND(F155*Setup!I32,0))</f>
        <v/>
      </c>
      <c r="K155" s="47" t="str">
        <f>IF(OR($A155="",F155=""),"",ROUND(F155*Setup!J32,0))</f>
        <v/>
      </c>
      <c r="L155" s="47" t="str">
        <f>IF(OR($A155="",F155=""),"",ROUND(F155*Setup!K32,0))</f>
        <v/>
      </c>
      <c r="M155" s="47" t="str">
        <f>IF(OR($A155="",F155=""),"",ROUND(F155*Setup!L32,0))</f>
        <v/>
      </c>
      <c r="N155" s="45" t="str">
        <f t="shared" si="61"/>
        <v/>
      </c>
      <c r="O155" s="48" t="str">
        <f>IF(OR($A155="",N155=""),"",N155*Setup!$B$6/(1+Setup!$B$6))</f>
        <v/>
      </c>
      <c r="P155" s="45" t="str">
        <f t="shared" si="62"/>
        <v/>
      </c>
      <c r="Q155" s="49" t="str">
        <f>IF($A155="","",Setup!S32)</f>
        <v/>
      </c>
      <c r="R155" s="49" t="str">
        <f t="shared" si="63"/>
        <v/>
      </c>
      <c r="S155" s="50" t="str">
        <f t="shared" si="64"/>
        <v/>
      </c>
    </row>
    <row r="156" spans="1:19" ht="15" customHeight="1" x14ac:dyDescent="0.2">
      <c r="A156" s="51" t="str">
        <f>IF(Setup!B33="","",Setup!B33)</f>
        <v/>
      </c>
      <c r="B156" s="52" t="str">
        <f>IF($A156="","",Setup!C33)</f>
        <v/>
      </c>
      <c r="C156" s="53" t="str">
        <f>IF($A156="","",Setup!D33)</f>
        <v/>
      </c>
      <c r="D156" s="54" t="str">
        <f>IF($A156="","",Setup!E33)</f>
        <v/>
      </c>
      <c r="E156" s="53" t="str">
        <f t="shared" si="59"/>
        <v/>
      </c>
      <c r="F156" s="55" t="str">
        <f t="shared" si="60"/>
        <v/>
      </c>
      <c r="G156" s="55" t="str">
        <f>IF(OR($A156="",F156=""),"",ROUND(F156*Setup!F33,0))</f>
        <v/>
      </c>
      <c r="H156" s="55" t="str">
        <f>IF(OR($A156="",F156=""),"",ROUND(F156*Setup!G33,0))</f>
        <v/>
      </c>
      <c r="I156" s="55" t="str">
        <f>IF(OR($A156="",F156=""),"",ROUND(F156*Setup!H33,0))</f>
        <v/>
      </c>
      <c r="J156" s="55" t="str">
        <f>IF(OR($A156="",F156=""),"",ROUND(F156*Setup!I33,0))</f>
        <v/>
      </c>
      <c r="K156" s="55" t="str">
        <f>IF(OR($A156="",F156=""),"",ROUND(F156*Setup!J33,0))</f>
        <v/>
      </c>
      <c r="L156" s="55" t="str">
        <f>IF(OR($A156="",F156=""),"",ROUND(F156*Setup!K33,0))</f>
        <v/>
      </c>
      <c r="M156" s="55" t="str">
        <f>IF(OR($A156="",F156=""),"",ROUND(F156*Setup!L33,0))</f>
        <v/>
      </c>
      <c r="N156" s="53" t="str">
        <f t="shared" si="61"/>
        <v/>
      </c>
      <c r="O156" s="56" t="str">
        <f>IF(OR($A156="",N156=""),"",N156*Setup!$B$6/(1+Setup!$B$6))</f>
        <v/>
      </c>
      <c r="P156" s="53" t="str">
        <f t="shared" si="62"/>
        <v/>
      </c>
      <c r="Q156" s="57" t="str">
        <f>IF($A156="","",Setup!S33)</f>
        <v/>
      </c>
      <c r="R156" s="57" t="str">
        <f t="shared" si="63"/>
        <v/>
      </c>
      <c r="S156" s="58" t="str">
        <f t="shared" si="64"/>
        <v/>
      </c>
    </row>
    <row r="157" spans="1:19" ht="15" customHeight="1" x14ac:dyDescent="0.2">
      <c r="A157" s="43" t="str">
        <f>IF(Setup!B34="","",Setup!B34)</f>
        <v/>
      </c>
      <c r="B157" s="44" t="str">
        <f>IF($A157="","",Setup!C34)</f>
        <v/>
      </c>
      <c r="C157" s="45" t="str">
        <f>IF($A157="","",Setup!D34)</f>
        <v/>
      </c>
      <c r="D157" s="46" t="str">
        <f>IF($A157="","",Setup!E34)</f>
        <v/>
      </c>
      <c r="E157" s="45" t="str">
        <f t="shared" si="59"/>
        <v/>
      </c>
      <c r="F157" s="47" t="str">
        <f t="shared" si="60"/>
        <v/>
      </c>
      <c r="G157" s="47" t="str">
        <f>IF(OR($A157="",F157=""),"",ROUND(F157*Setup!F34,0))</f>
        <v/>
      </c>
      <c r="H157" s="47" t="str">
        <f>IF(OR($A157="",F157=""),"",ROUND(F157*Setup!G34,0))</f>
        <v/>
      </c>
      <c r="I157" s="47" t="str">
        <f>IF(OR($A157="",F157=""),"",ROUND(F157*Setup!H34,0))</f>
        <v/>
      </c>
      <c r="J157" s="47" t="str">
        <f>IF(OR($A157="",F157=""),"",ROUND(F157*Setup!I34,0))</f>
        <v/>
      </c>
      <c r="K157" s="47" t="str">
        <f>IF(OR($A157="",F157=""),"",ROUND(F157*Setup!J34,0))</f>
        <v/>
      </c>
      <c r="L157" s="47" t="str">
        <f>IF(OR($A157="",F157=""),"",ROUND(F157*Setup!K34,0))</f>
        <v/>
      </c>
      <c r="M157" s="47" t="str">
        <f>IF(OR($A157="",F157=""),"",ROUND(F157*Setup!L34,0))</f>
        <v/>
      </c>
      <c r="N157" s="45" t="str">
        <f t="shared" si="61"/>
        <v/>
      </c>
      <c r="O157" s="48" t="str">
        <f>IF(OR($A157="",N157=""),"",N157*Setup!$B$6/(1+Setup!$B$6))</f>
        <v/>
      </c>
      <c r="P157" s="45" t="str">
        <f t="shared" si="62"/>
        <v/>
      </c>
      <c r="Q157" s="49" t="str">
        <f>IF($A157="","",Setup!S34)</f>
        <v/>
      </c>
      <c r="R157" s="49" t="str">
        <f t="shared" si="63"/>
        <v/>
      </c>
      <c r="S157" s="50" t="str">
        <f t="shared" si="64"/>
        <v/>
      </c>
    </row>
    <row r="158" spans="1:19" ht="15" customHeight="1" x14ac:dyDescent="0.2">
      <c r="A158" s="51" t="str">
        <f>IF(Setup!B35="","",Setup!B35)</f>
        <v/>
      </c>
      <c r="B158" s="52" t="str">
        <f>IF($A158="","",Setup!C35)</f>
        <v/>
      </c>
      <c r="C158" s="53" t="str">
        <f>IF($A158="","",Setup!D35)</f>
        <v/>
      </c>
      <c r="D158" s="54" t="str">
        <f>IF($A158="","",Setup!E35)</f>
        <v/>
      </c>
      <c r="E158" s="53" t="str">
        <f t="shared" si="59"/>
        <v/>
      </c>
      <c r="F158" s="55" t="str">
        <f t="shared" si="60"/>
        <v/>
      </c>
      <c r="G158" s="55" t="str">
        <f>IF(OR($A158="",F158=""),"",ROUND(F158*Setup!F35,0))</f>
        <v/>
      </c>
      <c r="H158" s="55" t="str">
        <f>IF(OR($A158="",F158=""),"",ROUND(F158*Setup!G35,0))</f>
        <v/>
      </c>
      <c r="I158" s="55" t="str">
        <f>IF(OR($A158="",F158=""),"",ROUND(F158*Setup!H35,0))</f>
        <v/>
      </c>
      <c r="J158" s="55" t="str">
        <f>IF(OR($A158="",F158=""),"",ROUND(F158*Setup!I35,0))</f>
        <v/>
      </c>
      <c r="K158" s="55" t="str">
        <f>IF(OR($A158="",F158=""),"",ROUND(F158*Setup!J35,0))</f>
        <v/>
      </c>
      <c r="L158" s="55" t="str">
        <f>IF(OR($A158="",F158=""),"",ROUND(F158*Setup!K35,0))</f>
        <v/>
      </c>
      <c r="M158" s="55" t="str">
        <f>IF(OR($A158="",F158=""),"",ROUND(F158*Setup!L35,0))</f>
        <v/>
      </c>
      <c r="N158" s="53" t="str">
        <f t="shared" si="61"/>
        <v/>
      </c>
      <c r="O158" s="56" t="str">
        <f>IF(OR($A158="",N158=""),"",N158*Setup!$B$6/(1+Setup!$B$6))</f>
        <v/>
      </c>
      <c r="P158" s="53" t="str">
        <f t="shared" si="62"/>
        <v/>
      </c>
      <c r="Q158" s="57" t="str">
        <f>IF($A158="","",Setup!S35)</f>
        <v/>
      </c>
      <c r="R158" s="57" t="str">
        <f t="shared" si="63"/>
        <v/>
      </c>
      <c r="S158" s="58" t="str">
        <f t="shared" si="64"/>
        <v/>
      </c>
    </row>
    <row r="159" spans="1:19" ht="15" customHeight="1" x14ac:dyDescent="0.2">
      <c r="A159" s="43" t="str">
        <f>IF(Setup!B36="","",Setup!B36)</f>
        <v/>
      </c>
      <c r="B159" s="44" t="str">
        <f>IF($A159="","",Setup!C36)</f>
        <v/>
      </c>
      <c r="C159" s="45" t="str">
        <f>IF($A159="","",Setup!D36)</f>
        <v/>
      </c>
      <c r="D159" s="46" t="str">
        <f>IF($A159="","",Setup!E36)</f>
        <v/>
      </c>
      <c r="E159" s="45" t="str">
        <f t="shared" si="59"/>
        <v/>
      </c>
      <c r="F159" s="47" t="str">
        <f t="shared" si="60"/>
        <v/>
      </c>
      <c r="G159" s="47" t="str">
        <f>IF(OR($A159="",F159=""),"",ROUND(F159*Setup!F36,0))</f>
        <v/>
      </c>
      <c r="H159" s="47" t="str">
        <f>IF(OR($A159="",F159=""),"",ROUND(F159*Setup!G36,0))</f>
        <v/>
      </c>
      <c r="I159" s="47" t="str">
        <f>IF(OR($A159="",F159=""),"",ROUND(F159*Setup!H36,0))</f>
        <v/>
      </c>
      <c r="J159" s="47" t="str">
        <f>IF(OR($A159="",F159=""),"",ROUND(F159*Setup!I36,0))</f>
        <v/>
      </c>
      <c r="K159" s="47" t="str">
        <f>IF(OR($A159="",F159=""),"",ROUND(F159*Setup!J36,0))</f>
        <v/>
      </c>
      <c r="L159" s="47" t="str">
        <f>IF(OR($A159="",F159=""),"",ROUND(F159*Setup!K36,0))</f>
        <v/>
      </c>
      <c r="M159" s="47" t="str">
        <f>IF(OR($A159="",F159=""),"",ROUND(F159*Setup!L36,0))</f>
        <v/>
      </c>
      <c r="N159" s="45" t="str">
        <f t="shared" si="61"/>
        <v/>
      </c>
      <c r="O159" s="48" t="str">
        <f>IF(OR($A159="",N159=""),"",N159*Setup!$B$6/(1+Setup!$B$6))</f>
        <v/>
      </c>
      <c r="P159" s="45" t="str">
        <f t="shared" si="62"/>
        <v/>
      </c>
      <c r="Q159" s="49" t="str">
        <f>IF($A159="","",Setup!S36)</f>
        <v/>
      </c>
      <c r="R159" s="49" t="str">
        <f t="shared" si="63"/>
        <v/>
      </c>
      <c r="S159" s="50" t="str">
        <f t="shared" si="64"/>
        <v/>
      </c>
    </row>
    <row r="160" spans="1:19" ht="15" customHeight="1" x14ac:dyDescent="0.2">
      <c r="A160" s="51" t="str">
        <f>IF(Setup!B37="","",Setup!B37)</f>
        <v/>
      </c>
      <c r="B160" s="52" t="str">
        <f>IF($A160="","",Setup!C37)</f>
        <v/>
      </c>
      <c r="C160" s="53" t="str">
        <f>IF($A160="","",Setup!D37)</f>
        <v/>
      </c>
      <c r="D160" s="54" t="str">
        <f>IF($A160="","",Setup!E37)</f>
        <v/>
      </c>
      <c r="E160" s="53" t="str">
        <f t="shared" si="59"/>
        <v/>
      </c>
      <c r="F160" s="55" t="str">
        <f t="shared" si="60"/>
        <v/>
      </c>
      <c r="G160" s="55" t="str">
        <f>IF(OR($A160="",F160=""),"",ROUND(F160*Setup!F37,0))</f>
        <v/>
      </c>
      <c r="H160" s="55" t="str">
        <f>IF(OR($A160="",F160=""),"",ROUND(F160*Setup!G37,0))</f>
        <v/>
      </c>
      <c r="I160" s="55" t="str">
        <f>IF(OR($A160="",F160=""),"",ROUND(F160*Setup!H37,0))</f>
        <v/>
      </c>
      <c r="J160" s="55" t="str">
        <f>IF(OR($A160="",F160=""),"",ROUND(F160*Setup!I37,0))</f>
        <v/>
      </c>
      <c r="K160" s="55" t="str">
        <f>IF(OR($A160="",F160=""),"",ROUND(F160*Setup!J37,0))</f>
        <v/>
      </c>
      <c r="L160" s="55" t="str">
        <f>IF(OR($A160="",F160=""),"",ROUND(F160*Setup!K37,0))</f>
        <v/>
      </c>
      <c r="M160" s="55" t="str">
        <f>IF(OR($A160="",F160=""),"",ROUND(F160*Setup!L37,0))</f>
        <v/>
      </c>
      <c r="N160" s="53" t="str">
        <f t="shared" si="61"/>
        <v/>
      </c>
      <c r="O160" s="56" t="str">
        <f>IF(OR($A160="",N160=""),"",N160*Setup!$B$6/(1+Setup!$B$6))</f>
        <v/>
      </c>
      <c r="P160" s="53" t="str">
        <f t="shared" si="62"/>
        <v/>
      </c>
      <c r="Q160" s="57" t="str">
        <f>IF($A160="","",Setup!S37)</f>
        <v/>
      </c>
      <c r="R160" s="57" t="str">
        <f t="shared" si="63"/>
        <v/>
      </c>
      <c r="S160" s="58" t="str">
        <f t="shared" si="64"/>
        <v/>
      </c>
    </row>
    <row r="161" spans="1:19" ht="15" customHeight="1" x14ac:dyDescent="0.2">
      <c r="A161" s="43" t="str">
        <f>IF(Setup!B38="","",Setup!B38)</f>
        <v/>
      </c>
      <c r="B161" s="44" t="str">
        <f>IF($A161="","",Setup!C38)</f>
        <v/>
      </c>
      <c r="C161" s="45" t="str">
        <f>IF($A161="","",Setup!D38)</f>
        <v/>
      </c>
      <c r="D161" s="46" t="str">
        <f>IF($A161="","",Setup!E38)</f>
        <v/>
      </c>
      <c r="E161" s="45" t="str">
        <f t="shared" si="59"/>
        <v/>
      </c>
      <c r="F161" s="47" t="str">
        <f t="shared" si="60"/>
        <v/>
      </c>
      <c r="G161" s="47" t="str">
        <f>IF(OR($A161="",F161=""),"",ROUND(F161*Setup!F38,0))</f>
        <v/>
      </c>
      <c r="H161" s="47" t="str">
        <f>IF(OR($A161="",F161=""),"",ROUND(F161*Setup!G38,0))</f>
        <v/>
      </c>
      <c r="I161" s="47" t="str">
        <f>IF(OR($A161="",F161=""),"",ROUND(F161*Setup!H38,0))</f>
        <v/>
      </c>
      <c r="J161" s="47" t="str">
        <f>IF(OR($A161="",F161=""),"",ROUND(F161*Setup!I38,0))</f>
        <v/>
      </c>
      <c r="K161" s="47" t="str">
        <f>IF(OR($A161="",F161=""),"",ROUND(F161*Setup!J38,0))</f>
        <v/>
      </c>
      <c r="L161" s="47" t="str">
        <f>IF(OR($A161="",F161=""),"",ROUND(F161*Setup!K38,0))</f>
        <v/>
      </c>
      <c r="M161" s="47" t="str">
        <f>IF(OR($A161="",F161=""),"",ROUND(F161*Setup!L38,0))</f>
        <v/>
      </c>
      <c r="N161" s="45" t="str">
        <f t="shared" si="61"/>
        <v/>
      </c>
      <c r="O161" s="48" t="str">
        <f>IF(OR($A161="",N161=""),"",N161*Setup!$B$6/(1+Setup!$B$6))</f>
        <v/>
      </c>
      <c r="P161" s="45" t="str">
        <f t="shared" si="62"/>
        <v/>
      </c>
      <c r="Q161" s="49" t="str">
        <f>IF($A161="","",Setup!S38)</f>
        <v/>
      </c>
      <c r="R161" s="49" t="str">
        <f t="shared" si="63"/>
        <v/>
      </c>
      <c r="S161" s="50" t="str">
        <f t="shared" si="64"/>
        <v/>
      </c>
    </row>
    <row r="162" spans="1:19" ht="15" customHeight="1" x14ac:dyDescent="0.2">
      <c r="A162" s="51" t="str">
        <f>IF(Setup!B39="","",Setup!B39)</f>
        <v/>
      </c>
      <c r="B162" s="52" t="str">
        <f>IF($A162="","",Setup!C39)</f>
        <v/>
      </c>
      <c r="C162" s="53" t="str">
        <f>IF($A162="","",Setup!D39)</f>
        <v/>
      </c>
      <c r="D162" s="54" t="str">
        <f>IF($A162="","",Setup!E39)</f>
        <v/>
      </c>
      <c r="E162" s="53" t="str">
        <f t="shared" si="59"/>
        <v/>
      </c>
      <c r="F162" s="55" t="str">
        <f t="shared" si="60"/>
        <v/>
      </c>
      <c r="G162" s="55" t="str">
        <f>IF(OR($A162="",F162=""),"",ROUND(F162*Setup!F39,0))</f>
        <v/>
      </c>
      <c r="H162" s="55" t="str">
        <f>IF(OR($A162="",F162=""),"",ROUND(F162*Setup!G39,0))</f>
        <v/>
      </c>
      <c r="I162" s="55" t="str">
        <f>IF(OR($A162="",F162=""),"",ROUND(F162*Setup!H39,0))</f>
        <v/>
      </c>
      <c r="J162" s="55" t="str">
        <f>IF(OR($A162="",F162=""),"",ROUND(F162*Setup!I39,0))</f>
        <v/>
      </c>
      <c r="K162" s="55" t="str">
        <f>IF(OR($A162="",F162=""),"",ROUND(F162*Setup!J39,0))</f>
        <v/>
      </c>
      <c r="L162" s="55" t="str">
        <f>IF(OR($A162="",F162=""),"",ROUND(F162*Setup!K39,0))</f>
        <v/>
      </c>
      <c r="M162" s="55" t="str">
        <f>IF(OR($A162="",F162=""),"",ROUND(F162*Setup!L39,0))</f>
        <v/>
      </c>
      <c r="N162" s="53" t="str">
        <f t="shared" si="61"/>
        <v/>
      </c>
      <c r="O162" s="56" t="str">
        <f>IF(OR($A162="",N162=""),"",N162*Setup!$B$6/(1+Setup!$B$6))</f>
        <v/>
      </c>
      <c r="P162" s="53" t="str">
        <f t="shared" si="62"/>
        <v/>
      </c>
      <c r="Q162" s="57" t="str">
        <f>IF($A162="","",Setup!S39)</f>
        <v/>
      </c>
      <c r="R162" s="57" t="str">
        <f t="shared" si="63"/>
        <v/>
      </c>
      <c r="S162" s="58" t="str">
        <f t="shared" si="64"/>
        <v/>
      </c>
    </row>
    <row r="163" spans="1:19" ht="15" customHeight="1" x14ac:dyDescent="0.2">
      <c r="A163" s="43" t="str">
        <f>IF(Setup!B40="","",Setup!B40)</f>
        <v/>
      </c>
      <c r="B163" s="44" t="str">
        <f>IF($A163="","",Setup!C40)</f>
        <v/>
      </c>
      <c r="C163" s="45" t="str">
        <f>IF($A163="","",Setup!D40)</f>
        <v/>
      </c>
      <c r="D163" s="46" t="str">
        <f>IF($A163="","",Setup!E40)</f>
        <v/>
      </c>
      <c r="E163" s="45" t="str">
        <f t="shared" si="59"/>
        <v/>
      </c>
      <c r="F163" s="47" t="str">
        <f t="shared" si="60"/>
        <v/>
      </c>
      <c r="G163" s="47" t="str">
        <f>IF(OR($A163="",F163=""),"",ROUND(F163*Setup!F40,0))</f>
        <v/>
      </c>
      <c r="H163" s="47" t="str">
        <f>IF(OR($A163="",F163=""),"",ROUND(F163*Setup!G40,0))</f>
        <v/>
      </c>
      <c r="I163" s="47" t="str">
        <f>IF(OR($A163="",F163=""),"",ROUND(F163*Setup!H40,0))</f>
        <v/>
      </c>
      <c r="J163" s="47" t="str">
        <f>IF(OR($A163="",F163=""),"",ROUND(F163*Setup!I40,0))</f>
        <v/>
      </c>
      <c r="K163" s="47" t="str">
        <f>IF(OR($A163="",F163=""),"",ROUND(F163*Setup!J40,0))</f>
        <v/>
      </c>
      <c r="L163" s="47" t="str">
        <f>IF(OR($A163="",F163=""),"",ROUND(F163*Setup!K40,0))</f>
        <v/>
      </c>
      <c r="M163" s="47" t="str">
        <f>IF(OR($A163="",F163=""),"",ROUND(F163*Setup!L40,0))</f>
        <v/>
      </c>
      <c r="N163" s="45" t="str">
        <f t="shared" si="61"/>
        <v/>
      </c>
      <c r="O163" s="48" t="str">
        <f>IF(OR($A163="",N163=""),"",N163*Setup!$B$6/(1+Setup!$B$6))</f>
        <v/>
      </c>
      <c r="P163" s="45" t="str">
        <f t="shared" si="62"/>
        <v/>
      </c>
      <c r="Q163" s="49" t="str">
        <f>IF($A163="","",Setup!S40)</f>
        <v/>
      </c>
      <c r="R163" s="49" t="str">
        <f t="shared" si="63"/>
        <v/>
      </c>
      <c r="S163" s="50" t="str">
        <f t="shared" si="64"/>
        <v/>
      </c>
    </row>
    <row r="164" spans="1:19" ht="15" customHeight="1" x14ac:dyDescent="0.2">
      <c r="A164" s="59" t="s">
        <v>100</v>
      </c>
      <c r="B164" s="26"/>
      <c r="C164" s="26"/>
      <c r="D164" s="26"/>
      <c r="E164" s="26">
        <f t="shared" ref="E164:P164" si="65">SUM(E149:E163)</f>
        <v>0</v>
      </c>
      <c r="F164" s="25">
        <f t="shared" si="65"/>
        <v>0</v>
      </c>
      <c r="G164" s="25">
        <f t="shared" si="65"/>
        <v>0</v>
      </c>
      <c r="H164" s="25">
        <f t="shared" si="65"/>
        <v>0</v>
      </c>
      <c r="I164" s="25">
        <f t="shared" si="65"/>
        <v>0</v>
      </c>
      <c r="J164" s="25">
        <f t="shared" si="65"/>
        <v>0</v>
      </c>
      <c r="K164" s="25">
        <f t="shared" si="65"/>
        <v>0</v>
      </c>
      <c r="L164" s="25">
        <f t="shared" si="65"/>
        <v>0</v>
      </c>
      <c r="M164" s="25">
        <f t="shared" si="65"/>
        <v>0</v>
      </c>
      <c r="N164" s="26">
        <f t="shared" si="65"/>
        <v>0</v>
      </c>
      <c r="O164" s="26">
        <f t="shared" si="65"/>
        <v>0</v>
      </c>
      <c r="P164" s="26">
        <f t="shared" si="65"/>
        <v>0</v>
      </c>
      <c r="Q164" s="26"/>
      <c r="R164" s="26">
        <f>SUM(R149:R163)</f>
        <v>0</v>
      </c>
      <c r="S164" s="26">
        <f>SUM(S149:S163)</f>
        <v>0</v>
      </c>
    </row>
    <row r="167" spans="1:19" ht="15.75" customHeight="1" x14ac:dyDescent="0.2">
      <c r="A167" s="95" t="str">
        <f>IF(Setup!C16="","Event 8: Not configured",UPPER(Setup!C16&amp;" - "&amp;Setup!D16&amp;" | "&amp;TEXT(Setup!B16,"DD MMM YYYY")))</f>
        <v>Event 8: Not configured</v>
      </c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4" t="s">
        <v>93</v>
      </c>
      <c r="O167" s="93"/>
      <c r="P167" s="93"/>
      <c r="Q167" s="92" t="str">
        <f>Setup!I16</f>
        <v/>
      </c>
      <c r="R167" s="93"/>
      <c r="S167" s="93"/>
    </row>
    <row r="168" spans="1:19" ht="15" customHeight="1" x14ac:dyDescent="0.2">
      <c r="A168" s="60" t="s">
        <v>94</v>
      </c>
      <c r="B168" s="61">
        <f>Setup!F16</f>
        <v>0</v>
      </c>
      <c r="C168" s="62"/>
      <c r="D168" s="60" t="s">
        <v>95</v>
      </c>
      <c r="E168" s="61">
        <f>Setup!G16</f>
        <v>0</v>
      </c>
      <c r="F168" s="62"/>
      <c r="G168" s="60" t="s">
        <v>96</v>
      </c>
      <c r="H168" s="63">
        <f>Setup!H16</f>
        <v>0</v>
      </c>
      <c r="I168" s="62"/>
      <c r="J168" s="60" t="s">
        <v>13</v>
      </c>
      <c r="K168" s="64">
        <f>Setup!B6</f>
        <v>0.15</v>
      </c>
      <c r="L168" s="62"/>
      <c r="M168" s="60" t="s">
        <v>97</v>
      </c>
      <c r="N168" s="63">
        <f>Setup!J16</f>
        <v>0</v>
      </c>
      <c r="O168" s="62"/>
      <c r="P168" s="60" t="s">
        <v>98</v>
      </c>
      <c r="Q168" s="63">
        <f>Setup!L16</f>
        <v>0</v>
      </c>
      <c r="R168" s="60" t="s">
        <v>99</v>
      </c>
      <c r="S168" s="64">
        <f>Setup!M16</f>
        <v>0</v>
      </c>
    </row>
    <row r="169" spans="1:19" ht="25.5" customHeight="1" x14ac:dyDescent="0.2">
      <c r="A169" s="28" t="s">
        <v>74</v>
      </c>
      <c r="B169" s="28" t="s">
        <v>49</v>
      </c>
      <c r="C169" s="28" t="s">
        <v>75</v>
      </c>
      <c r="D169" s="28" t="s">
        <v>76</v>
      </c>
      <c r="E169" s="28" t="s">
        <v>77</v>
      </c>
      <c r="F169" s="28" t="s">
        <v>78</v>
      </c>
      <c r="G169" s="28" t="s">
        <v>79</v>
      </c>
      <c r="H169" s="28" t="s">
        <v>80</v>
      </c>
      <c r="I169" s="28" t="s">
        <v>81</v>
      </c>
      <c r="J169" s="28" t="s">
        <v>82</v>
      </c>
      <c r="K169" s="28" t="s">
        <v>83</v>
      </c>
      <c r="L169" s="28" t="s">
        <v>84</v>
      </c>
      <c r="M169" s="28" t="s">
        <v>85</v>
      </c>
      <c r="N169" s="28" t="s">
        <v>86</v>
      </c>
      <c r="O169" s="41" t="s">
        <v>87</v>
      </c>
      <c r="P169" s="42" t="s">
        <v>88</v>
      </c>
      <c r="Q169" s="29" t="s">
        <v>89</v>
      </c>
      <c r="R169" s="29" t="s">
        <v>90</v>
      </c>
      <c r="S169" s="29" t="s">
        <v>91</v>
      </c>
    </row>
    <row r="170" spans="1:19" ht="15" customHeight="1" x14ac:dyDescent="0.2">
      <c r="A170" s="43" t="str">
        <f>IF(Setup!B26="","",Setup!B26)</f>
        <v>Sing Song Black tee</v>
      </c>
      <c r="B170" s="44" t="str">
        <f>IF($A170="","",Setup!C26)</f>
        <v>Apparel</v>
      </c>
      <c r="C170" s="45">
        <f>IF($A170="","",Setup!D26)</f>
        <v>550</v>
      </c>
      <c r="D170" s="46">
        <f>IF($A170="","",Setup!E26)</f>
        <v>0.3</v>
      </c>
      <c r="E170" s="45" t="str">
        <f t="shared" ref="E170:E184" si="66">IF(OR($A170="",$Q$167=""),"",$Q$167*D170)</f>
        <v/>
      </c>
      <c r="F170" s="47" t="str">
        <f t="shared" ref="F170:F184" si="67">IF(OR($A170="",C170=0,E170=""),"",ROUNDUP(E170/C170,0))</f>
        <v/>
      </c>
      <c r="G170" s="47" t="str">
        <f>IF(OR($A170="",F170=""),"",ROUND(F170*Setup!F26,0))</f>
        <v/>
      </c>
      <c r="H170" s="47" t="str">
        <f>IF(OR($A170="",F170=""),"",ROUND(F170*Setup!G26,0))</f>
        <v/>
      </c>
      <c r="I170" s="47" t="str">
        <f>IF(OR($A170="",F170=""),"",ROUND(F170*Setup!H26,0))</f>
        <v/>
      </c>
      <c r="J170" s="47" t="str">
        <f>IF(OR($A170="",F170=""),"",ROUND(F170*Setup!I26,0))</f>
        <v/>
      </c>
      <c r="K170" s="47" t="str">
        <f>IF(OR($A170="",F170=""),"",ROUND(F170*Setup!J26,0))</f>
        <v/>
      </c>
      <c r="L170" s="47" t="str">
        <f>IF(OR($A170="",F170=""),"",ROUND(F170*Setup!K26,0))</f>
        <v/>
      </c>
      <c r="M170" s="47" t="str">
        <f>IF(OR($A170="",F170=""),"",ROUND(F170*Setup!L26,0))</f>
        <v/>
      </c>
      <c r="N170" s="45" t="str">
        <f t="shared" ref="N170:N184" si="68">IF(OR($A170="",F170=""),"",F170*C170)</f>
        <v/>
      </c>
      <c r="O170" s="48" t="str">
        <f>IF(OR($A170="",N170=""),"",N170*Setup!$B$6/(1+Setup!$B$6))</f>
        <v/>
      </c>
      <c r="P170" s="45" t="str">
        <f t="shared" ref="P170:P184" si="69">IF(OR($A170="",N170=""),"",N170-O170)</f>
        <v/>
      </c>
      <c r="Q170" s="49">
        <f>IF($A170="","",Setup!S26)</f>
        <v>169</v>
      </c>
      <c r="R170" s="49" t="str">
        <f t="shared" ref="R170:R184" si="70">IF(OR($A170="",F170="",Q170=""),"",F170*Q170)</f>
        <v/>
      </c>
      <c r="S170" s="50" t="str">
        <f t="shared" ref="S170:S184" si="71">IF(OR($A170="",P170="",R170=""),"",P170-R170)</f>
        <v/>
      </c>
    </row>
    <row r="171" spans="1:19" ht="15" customHeight="1" x14ac:dyDescent="0.2">
      <c r="A171" s="51" t="str">
        <f>IF(Setup!B27="","",Setup!B27)</f>
        <v>Kingston Black Tee</v>
      </c>
      <c r="B171" s="52" t="str">
        <f>IF($A171="","",Setup!C27)</f>
        <v>Apparel</v>
      </c>
      <c r="C171" s="53">
        <f>IF($A171="","",Setup!D27)</f>
        <v>550</v>
      </c>
      <c r="D171" s="54">
        <f>IF($A171="","",Setup!E27)</f>
        <v>0.2</v>
      </c>
      <c r="E171" s="53" t="str">
        <f t="shared" si="66"/>
        <v/>
      </c>
      <c r="F171" s="55" t="str">
        <f t="shared" si="67"/>
        <v/>
      </c>
      <c r="G171" s="55" t="str">
        <f>IF(OR($A171="",F171=""),"",ROUND(F171*Setup!F27,0))</f>
        <v/>
      </c>
      <c r="H171" s="55" t="str">
        <f>IF(OR($A171="",F171=""),"",ROUND(F171*Setup!G27,0))</f>
        <v/>
      </c>
      <c r="I171" s="55" t="str">
        <f>IF(OR($A171="",F171=""),"",ROUND(F171*Setup!H27,0))</f>
        <v/>
      </c>
      <c r="J171" s="55" t="str">
        <f>IF(OR($A171="",F171=""),"",ROUND(F171*Setup!I27,0))</f>
        <v/>
      </c>
      <c r="K171" s="55" t="str">
        <f>IF(OR($A171="",F171=""),"",ROUND(F171*Setup!J27,0))</f>
        <v/>
      </c>
      <c r="L171" s="55" t="str">
        <f>IF(OR($A171="",F171=""),"",ROUND(F171*Setup!K27,0))</f>
        <v/>
      </c>
      <c r="M171" s="55" t="str">
        <f>IF(OR($A171="",F171=""),"",ROUND(F171*Setup!L27,0))</f>
        <v/>
      </c>
      <c r="N171" s="53" t="str">
        <f t="shared" si="68"/>
        <v/>
      </c>
      <c r="O171" s="56" t="str">
        <f>IF(OR($A171="",N171=""),"",N171*Setup!$B$6/(1+Setup!$B$6))</f>
        <v/>
      </c>
      <c r="P171" s="53" t="str">
        <f t="shared" si="69"/>
        <v/>
      </c>
      <c r="Q171" s="57">
        <f>IF($A171="","",Setup!S27)</f>
        <v>169</v>
      </c>
      <c r="R171" s="57" t="str">
        <f t="shared" si="70"/>
        <v/>
      </c>
      <c r="S171" s="58" t="str">
        <f t="shared" si="71"/>
        <v/>
      </c>
    </row>
    <row r="172" spans="1:19" ht="15" customHeight="1" x14ac:dyDescent="0.2">
      <c r="A172" s="43" t="str">
        <f>IF(Setup!B28="","",Setup!B28)</f>
        <v>Red Red Wine White tee</v>
      </c>
      <c r="B172" s="44" t="str">
        <f>IF($A172="","",Setup!C28)</f>
        <v>Apparel</v>
      </c>
      <c r="C172" s="45">
        <f>IF($A172="","",Setup!D28)</f>
        <v>550</v>
      </c>
      <c r="D172" s="46">
        <f>IF($A172="","",Setup!E28)</f>
        <v>0.3</v>
      </c>
      <c r="E172" s="45" t="str">
        <f t="shared" si="66"/>
        <v/>
      </c>
      <c r="F172" s="47" t="str">
        <f t="shared" si="67"/>
        <v/>
      </c>
      <c r="G172" s="47" t="str">
        <f>IF(OR($A172="",F172=""),"",ROUND(F172*Setup!F28,0))</f>
        <v/>
      </c>
      <c r="H172" s="47" t="str">
        <f>IF(OR($A172="",F172=""),"",ROUND(F172*Setup!G28,0))</f>
        <v/>
      </c>
      <c r="I172" s="47" t="str">
        <f>IF(OR($A172="",F172=""),"",ROUND(F172*Setup!H28,0))</f>
        <v/>
      </c>
      <c r="J172" s="47" t="str">
        <f>IF(OR($A172="",F172=""),"",ROUND(F172*Setup!I28,0))</f>
        <v/>
      </c>
      <c r="K172" s="47" t="str">
        <f>IF(OR($A172="",F172=""),"",ROUND(F172*Setup!J28,0))</f>
        <v/>
      </c>
      <c r="L172" s="47" t="str">
        <f>IF(OR($A172="",F172=""),"",ROUND(F172*Setup!K28,0))</f>
        <v/>
      </c>
      <c r="M172" s="47" t="str">
        <f>IF(OR($A172="",F172=""),"",ROUND(F172*Setup!L28,0))</f>
        <v/>
      </c>
      <c r="N172" s="45" t="str">
        <f t="shared" si="68"/>
        <v/>
      </c>
      <c r="O172" s="48" t="str">
        <f>IF(OR($A172="",N172=""),"",N172*Setup!$B$6/(1+Setup!$B$6))</f>
        <v/>
      </c>
      <c r="P172" s="45" t="str">
        <f t="shared" si="69"/>
        <v/>
      </c>
      <c r="Q172" s="49">
        <f>IF($A172="","",Setup!S28)</f>
        <v>162</v>
      </c>
      <c r="R172" s="49" t="str">
        <f t="shared" si="70"/>
        <v/>
      </c>
      <c r="S172" s="50" t="str">
        <f t="shared" si="71"/>
        <v/>
      </c>
    </row>
    <row r="173" spans="1:19" ht="15" customHeight="1" x14ac:dyDescent="0.2">
      <c r="A173" s="51" t="str">
        <f>IF(Setup!B29="","",Setup!B29)</f>
        <v>Cap</v>
      </c>
      <c r="B173" s="52" t="str">
        <f>IF($A173="","",Setup!C29)</f>
        <v>Accessory</v>
      </c>
      <c r="C173" s="53">
        <f>IF($A173="","",Setup!D29)</f>
        <v>350</v>
      </c>
      <c r="D173" s="54">
        <f>IF($A173="","",Setup!E29)</f>
        <v>0.13</v>
      </c>
      <c r="E173" s="53" t="str">
        <f t="shared" si="66"/>
        <v/>
      </c>
      <c r="F173" s="55" t="str">
        <f t="shared" si="67"/>
        <v/>
      </c>
      <c r="G173" s="55" t="str">
        <f>IF(OR($A173="",F173=""),"",ROUND(F173*Setup!F29,0))</f>
        <v/>
      </c>
      <c r="H173" s="55" t="str">
        <f>IF(OR($A173="",F173=""),"",ROUND(F173*Setup!G29,0))</f>
        <v/>
      </c>
      <c r="I173" s="55" t="str">
        <f>IF(OR($A173="",F173=""),"",ROUND(F173*Setup!H29,0))</f>
        <v/>
      </c>
      <c r="J173" s="55" t="str">
        <f>IF(OR($A173="",F173=""),"",ROUND(F173*Setup!I29,0))</f>
        <v/>
      </c>
      <c r="K173" s="55" t="str">
        <f>IF(OR($A173="",F173=""),"",ROUND(F173*Setup!J29,0))</f>
        <v/>
      </c>
      <c r="L173" s="55" t="str">
        <f>IF(OR($A173="",F173=""),"",ROUND(F173*Setup!K29,0))</f>
        <v/>
      </c>
      <c r="M173" s="55" t="str">
        <f>IF(OR($A173="",F173=""),"",ROUND(F173*Setup!L29,0))</f>
        <v/>
      </c>
      <c r="N173" s="53" t="str">
        <f t="shared" si="68"/>
        <v/>
      </c>
      <c r="O173" s="56" t="str">
        <f>IF(OR($A173="",N173=""),"",N173*Setup!$B$6/(1+Setup!$B$6))</f>
        <v/>
      </c>
      <c r="P173" s="53" t="str">
        <f t="shared" si="69"/>
        <v/>
      </c>
      <c r="Q173" s="57">
        <f>IF($A173="","",Setup!S29)</f>
        <v>96</v>
      </c>
      <c r="R173" s="57" t="str">
        <f t="shared" si="70"/>
        <v/>
      </c>
      <c r="S173" s="58" t="str">
        <f t="shared" si="71"/>
        <v/>
      </c>
    </row>
    <row r="174" spans="1:19" ht="15" customHeight="1" x14ac:dyDescent="0.2">
      <c r="A174" s="43" t="str">
        <f>IF(Setup!B30="","",Setup!B30)</f>
        <v>Tote</v>
      </c>
      <c r="B174" s="44" t="str">
        <f>IF($A174="","",Setup!C30)</f>
        <v>Accessory</v>
      </c>
      <c r="C174" s="45">
        <f>IF($A174="","",Setup!D30)</f>
        <v>100</v>
      </c>
      <c r="D174" s="46">
        <f>IF($A174="","",Setup!E30)</f>
        <v>7.0000000000000007E-2</v>
      </c>
      <c r="E174" s="45" t="str">
        <f t="shared" si="66"/>
        <v/>
      </c>
      <c r="F174" s="47" t="str">
        <f t="shared" si="67"/>
        <v/>
      </c>
      <c r="G174" s="47" t="str">
        <f>IF(OR($A174="",F174=""),"",ROUND(F174*Setup!F30,0))</f>
        <v/>
      </c>
      <c r="H174" s="47" t="str">
        <f>IF(OR($A174="",F174=""),"",ROUND(F174*Setup!G30,0))</f>
        <v/>
      </c>
      <c r="I174" s="47" t="str">
        <f>IF(OR($A174="",F174=""),"",ROUND(F174*Setup!H30,0))</f>
        <v/>
      </c>
      <c r="J174" s="47" t="str">
        <f>IF(OR($A174="",F174=""),"",ROUND(F174*Setup!I30,0))</f>
        <v/>
      </c>
      <c r="K174" s="47" t="str">
        <f>IF(OR($A174="",F174=""),"",ROUND(F174*Setup!J30,0))</f>
        <v/>
      </c>
      <c r="L174" s="47" t="str">
        <f>IF(OR($A174="",F174=""),"",ROUND(F174*Setup!K30,0))</f>
        <v/>
      </c>
      <c r="M174" s="47" t="str">
        <f>IF(OR($A174="",F174=""),"",ROUND(F174*Setup!L30,0))</f>
        <v/>
      </c>
      <c r="N174" s="45" t="str">
        <f t="shared" si="68"/>
        <v/>
      </c>
      <c r="O174" s="48" t="str">
        <f>IF(OR($A174="",N174=""),"",N174*Setup!$B$6/(1+Setup!$B$6))</f>
        <v/>
      </c>
      <c r="P174" s="45" t="str">
        <f t="shared" si="69"/>
        <v/>
      </c>
      <c r="Q174" s="49">
        <f>IF($A174="","",Setup!S30)</f>
        <v>50</v>
      </c>
      <c r="R174" s="49" t="str">
        <f t="shared" si="70"/>
        <v/>
      </c>
      <c r="S174" s="50" t="str">
        <f t="shared" si="71"/>
        <v/>
      </c>
    </row>
    <row r="175" spans="1:19" ht="15" customHeight="1" x14ac:dyDescent="0.2">
      <c r="A175" s="51" t="str">
        <f>IF(Setup!B31="","",Setup!B31)</f>
        <v/>
      </c>
      <c r="B175" s="52" t="str">
        <f>IF($A175="","",Setup!C31)</f>
        <v/>
      </c>
      <c r="C175" s="53" t="str">
        <f>IF($A175="","",Setup!D31)</f>
        <v/>
      </c>
      <c r="D175" s="54" t="str">
        <f>IF($A175="","",Setup!E31)</f>
        <v/>
      </c>
      <c r="E175" s="53" t="str">
        <f t="shared" si="66"/>
        <v/>
      </c>
      <c r="F175" s="55" t="str">
        <f t="shared" si="67"/>
        <v/>
      </c>
      <c r="G175" s="55" t="str">
        <f>IF(OR($A175="",F175=""),"",ROUND(F175*Setup!F31,0))</f>
        <v/>
      </c>
      <c r="H175" s="55" t="str">
        <f>IF(OR($A175="",F175=""),"",ROUND(F175*Setup!G31,0))</f>
        <v/>
      </c>
      <c r="I175" s="55" t="str">
        <f>IF(OR($A175="",F175=""),"",ROUND(F175*Setup!H31,0))</f>
        <v/>
      </c>
      <c r="J175" s="55" t="str">
        <f>IF(OR($A175="",F175=""),"",ROUND(F175*Setup!I31,0))</f>
        <v/>
      </c>
      <c r="K175" s="55" t="str">
        <f>IF(OR($A175="",F175=""),"",ROUND(F175*Setup!J31,0))</f>
        <v/>
      </c>
      <c r="L175" s="55" t="str">
        <f>IF(OR($A175="",F175=""),"",ROUND(F175*Setup!K31,0))</f>
        <v/>
      </c>
      <c r="M175" s="55" t="str">
        <f>IF(OR($A175="",F175=""),"",ROUND(F175*Setup!L31,0))</f>
        <v/>
      </c>
      <c r="N175" s="53" t="str">
        <f t="shared" si="68"/>
        <v/>
      </c>
      <c r="O175" s="56" t="str">
        <f>IF(OR($A175="",N175=""),"",N175*Setup!$B$6/(1+Setup!$B$6))</f>
        <v/>
      </c>
      <c r="P175" s="53" t="str">
        <f t="shared" si="69"/>
        <v/>
      </c>
      <c r="Q175" s="57" t="str">
        <f>IF($A175="","",Setup!S31)</f>
        <v/>
      </c>
      <c r="R175" s="57" t="str">
        <f t="shared" si="70"/>
        <v/>
      </c>
      <c r="S175" s="58" t="str">
        <f t="shared" si="71"/>
        <v/>
      </c>
    </row>
    <row r="176" spans="1:19" ht="15" customHeight="1" x14ac:dyDescent="0.2">
      <c r="A176" s="43" t="str">
        <f>IF(Setup!B32="","",Setup!B32)</f>
        <v/>
      </c>
      <c r="B176" s="44" t="str">
        <f>IF($A176="","",Setup!C32)</f>
        <v/>
      </c>
      <c r="C176" s="45" t="str">
        <f>IF($A176="","",Setup!D32)</f>
        <v/>
      </c>
      <c r="D176" s="46" t="str">
        <f>IF($A176="","",Setup!E32)</f>
        <v/>
      </c>
      <c r="E176" s="45" t="str">
        <f t="shared" si="66"/>
        <v/>
      </c>
      <c r="F176" s="47" t="str">
        <f t="shared" si="67"/>
        <v/>
      </c>
      <c r="G176" s="47" t="str">
        <f>IF(OR($A176="",F176=""),"",ROUND(F176*Setup!F32,0))</f>
        <v/>
      </c>
      <c r="H176" s="47" t="str">
        <f>IF(OR($A176="",F176=""),"",ROUND(F176*Setup!G32,0))</f>
        <v/>
      </c>
      <c r="I176" s="47" t="str">
        <f>IF(OR($A176="",F176=""),"",ROUND(F176*Setup!H32,0))</f>
        <v/>
      </c>
      <c r="J176" s="47" t="str">
        <f>IF(OR($A176="",F176=""),"",ROUND(F176*Setup!I32,0))</f>
        <v/>
      </c>
      <c r="K176" s="47" t="str">
        <f>IF(OR($A176="",F176=""),"",ROUND(F176*Setup!J32,0))</f>
        <v/>
      </c>
      <c r="L176" s="47" t="str">
        <f>IF(OR($A176="",F176=""),"",ROUND(F176*Setup!K32,0))</f>
        <v/>
      </c>
      <c r="M176" s="47" t="str">
        <f>IF(OR($A176="",F176=""),"",ROUND(F176*Setup!L32,0))</f>
        <v/>
      </c>
      <c r="N176" s="45" t="str">
        <f t="shared" si="68"/>
        <v/>
      </c>
      <c r="O176" s="48" t="str">
        <f>IF(OR($A176="",N176=""),"",N176*Setup!$B$6/(1+Setup!$B$6))</f>
        <v/>
      </c>
      <c r="P176" s="45" t="str">
        <f t="shared" si="69"/>
        <v/>
      </c>
      <c r="Q176" s="49" t="str">
        <f>IF($A176="","",Setup!S32)</f>
        <v/>
      </c>
      <c r="R176" s="49" t="str">
        <f t="shared" si="70"/>
        <v/>
      </c>
      <c r="S176" s="50" t="str">
        <f t="shared" si="71"/>
        <v/>
      </c>
    </row>
    <row r="177" spans="1:19" ht="15" customHeight="1" x14ac:dyDescent="0.2">
      <c r="A177" s="51" t="str">
        <f>IF(Setup!B33="","",Setup!B33)</f>
        <v/>
      </c>
      <c r="B177" s="52" t="str">
        <f>IF($A177="","",Setup!C33)</f>
        <v/>
      </c>
      <c r="C177" s="53" t="str">
        <f>IF($A177="","",Setup!D33)</f>
        <v/>
      </c>
      <c r="D177" s="54" t="str">
        <f>IF($A177="","",Setup!E33)</f>
        <v/>
      </c>
      <c r="E177" s="53" t="str">
        <f t="shared" si="66"/>
        <v/>
      </c>
      <c r="F177" s="55" t="str">
        <f t="shared" si="67"/>
        <v/>
      </c>
      <c r="G177" s="55" t="str">
        <f>IF(OR($A177="",F177=""),"",ROUND(F177*Setup!F33,0))</f>
        <v/>
      </c>
      <c r="H177" s="55" t="str">
        <f>IF(OR($A177="",F177=""),"",ROUND(F177*Setup!G33,0))</f>
        <v/>
      </c>
      <c r="I177" s="55" t="str">
        <f>IF(OR($A177="",F177=""),"",ROUND(F177*Setup!H33,0))</f>
        <v/>
      </c>
      <c r="J177" s="55" t="str">
        <f>IF(OR($A177="",F177=""),"",ROUND(F177*Setup!I33,0))</f>
        <v/>
      </c>
      <c r="K177" s="55" t="str">
        <f>IF(OR($A177="",F177=""),"",ROUND(F177*Setup!J33,0))</f>
        <v/>
      </c>
      <c r="L177" s="55" t="str">
        <f>IF(OR($A177="",F177=""),"",ROUND(F177*Setup!K33,0))</f>
        <v/>
      </c>
      <c r="M177" s="55" t="str">
        <f>IF(OR($A177="",F177=""),"",ROUND(F177*Setup!L33,0))</f>
        <v/>
      </c>
      <c r="N177" s="53" t="str">
        <f t="shared" si="68"/>
        <v/>
      </c>
      <c r="O177" s="56" t="str">
        <f>IF(OR($A177="",N177=""),"",N177*Setup!$B$6/(1+Setup!$B$6))</f>
        <v/>
      </c>
      <c r="P177" s="53" t="str">
        <f t="shared" si="69"/>
        <v/>
      </c>
      <c r="Q177" s="57" t="str">
        <f>IF($A177="","",Setup!S33)</f>
        <v/>
      </c>
      <c r="R177" s="57" t="str">
        <f t="shared" si="70"/>
        <v/>
      </c>
      <c r="S177" s="58" t="str">
        <f t="shared" si="71"/>
        <v/>
      </c>
    </row>
    <row r="178" spans="1:19" ht="15" customHeight="1" x14ac:dyDescent="0.2">
      <c r="A178" s="43" t="str">
        <f>IF(Setup!B34="","",Setup!B34)</f>
        <v/>
      </c>
      <c r="B178" s="44" t="str">
        <f>IF($A178="","",Setup!C34)</f>
        <v/>
      </c>
      <c r="C178" s="45" t="str">
        <f>IF($A178="","",Setup!D34)</f>
        <v/>
      </c>
      <c r="D178" s="46" t="str">
        <f>IF($A178="","",Setup!E34)</f>
        <v/>
      </c>
      <c r="E178" s="45" t="str">
        <f t="shared" si="66"/>
        <v/>
      </c>
      <c r="F178" s="47" t="str">
        <f t="shared" si="67"/>
        <v/>
      </c>
      <c r="G178" s="47" t="str">
        <f>IF(OR($A178="",F178=""),"",ROUND(F178*Setup!F34,0))</f>
        <v/>
      </c>
      <c r="H178" s="47" t="str">
        <f>IF(OR($A178="",F178=""),"",ROUND(F178*Setup!G34,0))</f>
        <v/>
      </c>
      <c r="I178" s="47" t="str">
        <f>IF(OR($A178="",F178=""),"",ROUND(F178*Setup!H34,0))</f>
        <v/>
      </c>
      <c r="J178" s="47" t="str">
        <f>IF(OR($A178="",F178=""),"",ROUND(F178*Setup!I34,0))</f>
        <v/>
      </c>
      <c r="K178" s="47" t="str">
        <f>IF(OR($A178="",F178=""),"",ROUND(F178*Setup!J34,0))</f>
        <v/>
      </c>
      <c r="L178" s="47" t="str">
        <f>IF(OR($A178="",F178=""),"",ROUND(F178*Setup!K34,0))</f>
        <v/>
      </c>
      <c r="M178" s="47" t="str">
        <f>IF(OR($A178="",F178=""),"",ROUND(F178*Setup!L34,0))</f>
        <v/>
      </c>
      <c r="N178" s="45" t="str">
        <f t="shared" si="68"/>
        <v/>
      </c>
      <c r="O178" s="48" t="str">
        <f>IF(OR($A178="",N178=""),"",N178*Setup!$B$6/(1+Setup!$B$6))</f>
        <v/>
      </c>
      <c r="P178" s="45" t="str">
        <f t="shared" si="69"/>
        <v/>
      </c>
      <c r="Q178" s="49" t="str">
        <f>IF($A178="","",Setup!S34)</f>
        <v/>
      </c>
      <c r="R178" s="49" t="str">
        <f t="shared" si="70"/>
        <v/>
      </c>
      <c r="S178" s="50" t="str">
        <f t="shared" si="71"/>
        <v/>
      </c>
    </row>
    <row r="179" spans="1:19" ht="15" customHeight="1" x14ac:dyDescent="0.2">
      <c r="A179" s="51" t="str">
        <f>IF(Setup!B35="","",Setup!B35)</f>
        <v/>
      </c>
      <c r="B179" s="52" t="str">
        <f>IF($A179="","",Setup!C35)</f>
        <v/>
      </c>
      <c r="C179" s="53" t="str">
        <f>IF($A179="","",Setup!D35)</f>
        <v/>
      </c>
      <c r="D179" s="54" t="str">
        <f>IF($A179="","",Setup!E35)</f>
        <v/>
      </c>
      <c r="E179" s="53" t="str">
        <f t="shared" si="66"/>
        <v/>
      </c>
      <c r="F179" s="55" t="str">
        <f t="shared" si="67"/>
        <v/>
      </c>
      <c r="G179" s="55" t="str">
        <f>IF(OR($A179="",F179=""),"",ROUND(F179*Setup!F35,0))</f>
        <v/>
      </c>
      <c r="H179" s="55" t="str">
        <f>IF(OR($A179="",F179=""),"",ROUND(F179*Setup!G35,0))</f>
        <v/>
      </c>
      <c r="I179" s="55" t="str">
        <f>IF(OR($A179="",F179=""),"",ROUND(F179*Setup!H35,0))</f>
        <v/>
      </c>
      <c r="J179" s="55" t="str">
        <f>IF(OR($A179="",F179=""),"",ROUND(F179*Setup!I35,0))</f>
        <v/>
      </c>
      <c r="K179" s="55" t="str">
        <f>IF(OR($A179="",F179=""),"",ROUND(F179*Setup!J35,0))</f>
        <v/>
      </c>
      <c r="L179" s="55" t="str">
        <f>IF(OR($A179="",F179=""),"",ROUND(F179*Setup!K35,0))</f>
        <v/>
      </c>
      <c r="M179" s="55" t="str">
        <f>IF(OR($A179="",F179=""),"",ROUND(F179*Setup!L35,0))</f>
        <v/>
      </c>
      <c r="N179" s="53" t="str">
        <f t="shared" si="68"/>
        <v/>
      </c>
      <c r="O179" s="56" t="str">
        <f>IF(OR($A179="",N179=""),"",N179*Setup!$B$6/(1+Setup!$B$6))</f>
        <v/>
      </c>
      <c r="P179" s="53" t="str">
        <f t="shared" si="69"/>
        <v/>
      </c>
      <c r="Q179" s="57" t="str">
        <f>IF($A179="","",Setup!S35)</f>
        <v/>
      </c>
      <c r="R179" s="57" t="str">
        <f t="shared" si="70"/>
        <v/>
      </c>
      <c r="S179" s="58" t="str">
        <f t="shared" si="71"/>
        <v/>
      </c>
    </row>
    <row r="180" spans="1:19" ht="15" customHeight="1" x14ac:dyDescent="0.2">
      <c r="A180" s="43" t="str">
        <f>IF(Setup!B36="","",Setup!B36)</f>
        <v/>
      </c>
      <c r="B180" s="44" t="str">
        <f>IF($A180="","",Setup!C36)</f>
        <v/>
      </c>
      <c r="C180" s="45" t="str">
        <f>IF($A180="","",Setup!D36)</f>
        <v/>
      </c>
      <c r="D180" s="46" t="str">
        <f>IF($A180="","",Setup!E36)</f>
        <v/>
      </c>
      <c r="E180" s="45" t="str">
        <f t="shared" si="66"/>
        <v/>
      </c>
      <c r="F180" s="47" t="str">
        <f t="shared" si="67"/>
        <v/>
      </c>
      <c r="G180" s="47" t="str">
        <f>IF(OR($A180="",F180=""),"",ROUND(F180*Setup!F36,0))</f>
        <v/>
      </c>
      <c r="H180" s="47" t="str">
        <f>IF(OR($A180="",F180=""),"",ROUND(F180*Setup!G36,0))</f>
        <v/>
      </c>
      <c r="I180" s="47" t="str">
        <f>IF(OR($A180="",F180=""),"",ROUND(F180*Setup!H36,0))</f>
        <v/>
      </c>
      <c r="J180" s="47" t="str">
        <f>IF(OR($A180="",F180=""),"",ROUND(F180*Setup!I36,0))</f>
        <v/>
      </c>
      <c r="K180" s="47" t="str">
        <f>IF(OR($A180="",F180=""),"",ROUND(F180*Setup!J36,0))</f>
        <v/>
      </c>
      <c r="L180" s="47" t="str">
        <f>IF(OR($A180="",F180=""),"",ROUND(F180*Setup!K36,0))</f>
        <v/>
      </c>
      <c r="M180" s="47" t="str">
        <f>IF(OR($A180="",F180=""),"",ROUND(F180*Setup!L36,0))</f>
        <v/>
      </c>
      <c r="N180" s="45" t="str">
        <f t="shared" si="68"/>
        <v/>
      </c>
      <c r="O180" s="48" t="str">
        <f>IF(OR($A180="",N180=""),"",N180*Setup!$B$6/(1+Setup!$B$6))</f>
        <v/>
      </c>
      <c r="P180" s="45" t="str">
        <f t="shared" si="69"/>
        <v/>
      </c>
      <c r="Q180" s="49" t="str">
        <f>IF($A180="","",Setup!S36)</f>
        <v/>
      </c>
      <c r="R180" s="49" t="str">
        <f t="shared" si="70"/>
        <v/>
      </c>
      <c r="S180" s="50" t="str">
        <f t="shared" si="71"/>
        <v/>
      </c>
    </row>
    <row r="181" spans="1:19" ht="15" customHeight="1" x14ac:dyDescent="0.2">
      <c r="A181" s="51" t="str">
        <f>IF(Setup!B37="","",Setup!B37)</f>
        <v/>
      </c>
      <c r="B181" s="52" t="str">
        <f>IF($A181="","",Setup!C37)</f>
        <v/>
      </c>
      <c r="C181" s="53" t="str">
        <f>IF($A181="","",Setup!D37)</f>
        <v/>
      </c>
      <c r="D181" s="54" t="str">
        <f>IF($A181="","",Setup!E37)</f>
        <v/>
      </c>
      <c r="E181" s="53" t="str">
        <f t="shared" si="66"/>
        <v/>
      </c>
      <c r="F181" s="55" t="str">
        <f t="shared" si="67"/>
        <v/>
      </c>
      <c r="G181" s="55" t="str">
        <f>IF(OR($A181="",F181=""),"",ROUND(F181*Setup!F37,0))</f>
        <v/>
      </c>
      <c r="H181" s="55" t="str">
        <f>IF(OR($A181="",F181=""),"",ROUND(F181*Setup!G37,0))</f>
        <v/>
      </c>
      <c r="I181" s="55" t="str">
        <f>IF(OR($A181="",F181=""),"",ROUND(F181*Setup!H37,0))</f>
        <v/>
      </c>
      <c r="J181" s="55" t="str">
        <f>IF(OR($A181="",F181=""),"",ROUND(F181*Setup!I37,0))</f>
        <v/>
      </c>
      <c r="K181" s="55" t="str">
        <f>IF(OR($A181="",F181=""),"",ROUND(F181*Setup!J37,0))</f>
        <v/>
      </c>
      <c r="L181" s="55" t="str">
        <f>IF(OR($A181="",F181=""),"",ROUND(F181*Setup!K37,0))</f>
        <v/>
      </c>
      <c r="M181" s="55" t="str">
        <f>IF(OR($A181="",F181=""),"",ROUND(F181*Setup!L37,0))</f>
        <v/>
      </c>
      <c r="N181" s="53" t="str">
        <f t="shared" si="68"/>
        <v/>
      </c>
      <c r="O181" s="56" t="str">
        <f>IF(OR($A181="",N181=""),"",N181*Setup!$B$6/(1+Setup!$B$6))</f>
        <v/>
      </c>
      <c r="P181" s="53" t="str">
        <f t="shared" si="69"/>
        <v/>
      </c>
      <c r="Q181" s="57" t="str">
        <f>IF($A181="","",Setup!S37)</f>
        <v/>
      </c>
      <c r="R181" s="57" t="str">
        <f t="shared" si="70"/>
        <v/>
      </c>
      <c r="S181" s="58" t="str">
        <f t="shared" si="71"/>
        <v/>
      </c>
    </row>
    <row r="182" spans="1:19" ht="15" customHeight="1" x14ac:dyDescent="0.2">
      <c r="A182" s="43" t="str">
        <f>IF(Setup!B38="","",Setup!B38)</f>
        <v/>
      </c>
      <c r="B182" s="44" t="str">
        <f>IF($A182="","",Setup!C38)</f>
        <v/>
      </c>
      <c r="C182" s="45" t="str">
        <f>IF($A182="","",Setup!D38)</f>
        <v/>
      </c>
      <c r="D182" s="46" t="str">
        <f>IF($A182="","",Setup!E38)</f>
        <v/>
      </c>
      <c r="E182" s="45" t="str">
        <f t="shared" si="66"/>
        <v/>
      </c>
      <c r="F182" s="47" t="str">
        <f t="shared" si="67"/>
        <v/>
      </c>
      <c r="G182" s="47" t="str">
        <f>IF(OR($A182="",F182=""),"",ROUND(F182*Setup!F38,0))</f>
        <v/>
      </c>
      <c r="H182" s="47" t="str">
        <f>IF(OR($A182="",F182=""),"",ROUND(F182*Setup!G38,0))</f>
        <v/>
      </c>
      <c r="I182" s="47" t="str">
        <f>IF(OR($A182="",F182=""),"",ROUND(F182*Setup!H38,0))</f>
        <v/>
      </c>
      <c r="J182" s="47" t="str">
        <f>IF(OR($A182="",F182=""),"",ROUND(F182*Setup!I38,0))</f>
        <v/>
      </c>
      <c r="K182" s="47" t="str">
        <f>IF(OR($A182="",F182=""),"",ROUND(F182*Setup!J38,0))</f>
        <v/>
      </c>
      <c r="L182" s="47" t="str">
        <f>IF(OR($A182="",F182=""),"",ROUND(F182*Setup!K38,0))</f>
        <v/>
      </c>
      <c r="M182" s="47" t="str">
        <f>IF(OR($A182="",F182=""),"",ROUND(F182*Setup!L38,0))</f>
        <v/>
      </c>
      <c r="N182" s="45" t="str">
        <f t="shared" si="68"/>
        <v/>
      </c>
      <c r="O182" s="48" t="str">
        <f>IF(OR($A182="",N182=""),"",N182*Setup!$B$6/(1+Setup!$B$6))</f>
        <v/>
      </c>
      <c r="P182" s="45" t="str">
        <f t="shared" si="69"/>
        <v/>
      </c>
      <c r="Q182" s="49" t="str">
        <f>IF($A182="","",Setup!S38)</f>
        <v/>
      </c>
      <c r="R182" s="49" t="str">
        <f t="shared" si="70"/>
        <v/>
      </c>
      <c r="S182" s="50" t="str">
        <f t="shared" si="71"/>
        <v/>
      </c>
    </row>
    <row r="183" spans="1:19" ht="15" customHeight="1" x14ac:dyDescent="0.2">
      <c r="A183" s="51" t="str">
        <f>IF(Setup!B39="","",Setup!B39)</f>
        <v/>
      </c>
      <c r="B183" s="52" t="str">
        <f>IF($A183="","",Setup!C39)</f>
        <v/>
      </c>
      <c r="C183" s="53" t="str">
        <f>IF($A183="","",Setup!D39)</f>
        <v/>
      </c>
      <c r="D183" s="54" t="str">
        <f>IF($A183="","",Setup!E39)</f>
        <v/>
      </c>
      <c r="E183" s="53" t="str">
        <f t="shared" si="66"/>
        <v/>
      </c>
      <c r="F183" s="55" t="str">
        <f t="shared" si="67"/>
        <v/>
      </c>
      <c r="G183" s="55" t="str">
        <f>IF(OR($A183="",F183=""),"",ROUND(F183*Setup!F39,0))</f>
        <v/>
      </c>
      <c r="H183" s="55" t="str">
        <f>IF(OR($A183="",F183=""),"",ROUND(F183*Setup!G39,0))</f>
        <v/>
      </c>
      <c r="I183" s="55" t="str">
        <f>IF(OR($A183="",F183=""),"",ROUND(F183*Setup!H39,0))</f>
        <v/>
      </c>
      <c r="J183" s="55" t="str">
        <f>IF(OR($A183="",F183=""),"",ROUND(F183*Setup!I39,0))</f>
        <v/>
      </c>
      <c r="K183" s="55" t="str">
        <f>IF(OR($A183="",F183=""),"",ROUND(F183*Setup!J39,0))</f>
        <v/>
      </c>
      <c r="L183" s="55" t="str">
        <f>IF(OR($A183="",F183=""),"",ROUND(F183*Setup!K39,0))</f>
        <v/>
      </c>
      <c r="M183" s="55" t="str">
        <f>IF(OR($A183="",F183=""),"",ROUND(F183*Setup!L39,0))</f>
        <v/>
      </c>
      <c r="N183" s="53" t="str">
        <f t="shared" si="68"/>
        <v/>
      </c>
      <c r="O183" s="56" t="str">
        <f>IF(OR($A183="",N183=""),"",N183*Setup!$B$6/(1+Setup!$B$6))</f>
        <v/>
      </c>
      <c r="P183" s="53" t="str">
        <f t="shared" si="69"/>
        <v/>
      </c>
      <c r="Q183" s="57" t="str">
        <f>IF($A183="","",Setup!S39)</f>
        <v/>
      </c>
      <c r="R183" s="57" t="str">
        <f t="shared" si="70"/>
        <v/>
      </c>
      <c r="S183" s="58" t="str">
        <f t="shared" si="71"/>
        <v/>
      </c>
    </row>
    <row r="184" spans="1:19" ht="15" customHeight="1" x14ac:dyDescent="0.2">
      <c r="A184" s="43" t="str">
        <f>IF(Setup!B40="","",Setup!B40)</f>
        <v/>
      </c>
      <c r="B184" s="44" t="str">
        <f>IF($A184="","",Setup!C40)</f>
        <v/>
      </c>
      <c r="C184" s="45" t="str">
        <f>IF($A184="","",Setup!D40)</f>
        <v/>
      </c>
      <c r="D184" s="46" t="str">
        <f>IF($A184="","",Setup!E40)</f>
        <v/>
      </c>
      <c r="E184" s="45" t="str">
        <f t="shared" si="66"/>
        <v/>
      </c>
      <c r="F184" s="47" t="str">
        <f t="shared" si="67"/>
        <v/>
      </c>
      <c r="G184" s="47" t="str">
        <f>IF(OR($A184="",F184=""),"",ROUND(F184*Setup!F40,0))</f>
        <v/>
      </c>
      <c r="H184" s="47" t="str">
        <f>IF(OR($A184="",F184=""),"",ROUND(F184*Setup!G40,0))</f>
        <v/>
      </c>
      <c r="I184" s="47" t="str">
        <f>IF(OR($A184="",F184=""),"",ROUND(F184*Setup!H40,0))</f>
        <v/>
      </c>
      <c r="J184" s="47" t="str">
        <f>IF(OR($A184="",F184=""),"",ROUND(F184*Setup!I40,0))</f>
        <v/>
      </c>
      <c r="K184" s="47" t="str">
        <f>IF(OR($A184="",F184=""),"",ROUND(F184*Setup!J40,0))</f>
        <v/>
      </c>
      <c r="L184" s="47" t="str">
        <f>IF(OR($A184="",F184=""),"",ROUND(F184*Setup!K40,0))</f>
        <v/>
      </c>
      <c r="M184" s="47" t="str">
        <f>IF(OR($A184="",F184=""),"",ROUND(F184*Setup!L40,0))</f>
        <v/>
      </c>
      <c r="N184" s="45" t="str">
        <f t="shared" si="68"/>
        <v/>
      </c>
      <c r="O184" s="48" t="str">
        <f>IF(OR($A184="",N184=""),"",N184*Setup!$B$6/(1+Setup!$B$6))</f>
        <v/>
      </c>
      <c r="P184" s="45" t="str">
        <f t="shared" si="69"/>
        <v/>
      </c>
      <c r="Q184" s="49" t="str">
        <f>IF($A184="","",Setup!S40)</f>
        <v/>
      </c>
      <c r="R184" s="49" t="str">
        <f t="shared" si="70"/>
        <v/>
      </c>
      <c r="S184" s="50" t="str">
        <f t="shared" si="71"/>
        <v/>
      </c>
    </row>
    <row r="185" spans="1:19" ht="15" customHeight="1" x14ac:dyDescent="0.2">
      <c r="A185" s="59" t="s">
        <v>100</v>
      </c>
      <c r="B185" s="26"/>
      <c r="C185" s="26"/>
      <c r="D185" s="26"/>
      <c r="E185" s="26">
        <f t="shared" ref="E185:P185" si="72">SUM(E170:E184)</f>
        <v>0</v>
      </c>
      <c r="F185" s="25">
        <f t="shared" si="72"/>
        <v>0</v>
      </c>
      <c r="G185" s="25">
        <f t="shared" si="72"/>
        <v>0</v>
      </c>
      <c r="H185" s="25">
        <f t="shared" si="72"/>
        <v>0</v>
      </c>
      <c r="I185" s="25">
        <f t="shared" si="72"/>
        <v>0</v>
      </c>
      <c r="J185" s="25">
        <f t="shared" si="72"/>
        <v>0</v>
      </c>
      <c r="K185" s="25">
        <f t="shared" si="72"/>
        <v>0</v>
      </c>
      <c r="L185" s="25">
        <f t="shared" si="72"/>
        <v>0</v>
      </c>
      <c r="M185" s="25">
        <f t="shared" si="72"/>
        <v>0</v>
      </c>
      <c r="N185" s="26">
        <f t="shared" si="72"/>
        <v>0</v>
      </c>
      <c r="O185" s="26">
        <f t="shared" si="72"/>
        <v>0</v>
      </c>
      <c r="P185" s="26">
        <f t="shared" si="72"/>
        <v>0</v>
      </c>
      <c r="Q185" s="26"/>
      <c r="R185" s="26">
        <f>SUM(R170:R184)</f>
        <v>0</v>
      </c>
      <c r="S185" s="26">
        <f>SUM(S170:S184)</f>
        <v>0</v>
      </c>
    </row>
    <row r="188" spans="1:19" ht="15.75" customHeight="1" x14ac:dyDescent="0.2">
      <c r="A188" s="95" t="str">
        <f>IF(Setup!C18="","Event 9: Not configured",UPPER(Setup!C18&amp;" - "&amp;Setup!D18&amp;" | "&amp;TEXT(Setup!B18,"DD MMM YYYY")))</f>
        <v>Event 9: Not configured</v>
      </c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4" t="s">
        <v>93</v>
      </c>
      <c r="O188" s="93"/>
      <c r="P188" s="93"/>
      <c r="Q188" s="92" t="str">
        <f>Setup!I18</f>
        <v/>
      </c>
      <c r="R188" s="93"/>
      <c r="S188" s="93"/>
    </row>
    <row r="189" spans="1:19" ht="15" customHeight="1" x14ac:dyDescent="0.2">
      <c r="A189" s="60" t="s">
        <v>94</v>
      </c>
      <c r="B189" s="61">
        <f>Setup!F18</f>
        <v>0</v>
      </c>
      <c r="C189" s="62"/>
      <c r="D189" s="60" t="s">
        <v>95</v>
      </c>
      <c r="E189" s="61">
        <f>Setup!G18</f>
        <v>0</v>
      </c>
      <c r="F189" s="62"/>
      <c r="G189" s="60" t="s">
        <v>96</v>
      </c>
      <c r="H189" s="63">
        <f>Setup!H18</f>
        <v>0</v>
      </c>
      <c r="I189" s="62"/>
      <c r="J189" s="60" t="s">
        <v>13</v>
      </c>
      <c r="K189" s="64">
        <f>Setup!B6</f>
        <v>0.15</v>
      </c>
      <c r="L189" s="62"/>
      <c r="M189" s="60" t="s">
        <v>97</v>
      </c>
      <c r="N189" s="63">
        <f>Setup!J18</f>
        <v>0</v>
      </c>
      <c r="O189" s="62"/>
      <c r="P189" s="60" t="s">
        <v>98</v>
      </c>
      <c r="Q189" s="63">
        <f>Setup!L18</f>
        <v>0</v>
      </c>
      <c r="R189" s="60" t="s">
        <v>99</v>
      </c>
      <c r="S189" s="64">
        <f>Setup!M18</f>
        <v>0</v>
      </c>
    </row>
    <row r="190" spans="1:19" ht="25.5" customHeight="1" x14ac:dyDescent="0.2">
      <c r="A190" s="28" t="s">
        <v>74</v>
      </c>
      <c r="B190" s="28" t="s">
        <v>49</v>
      </c>
      <c r="C190" s="28" t="s">
        <v>75</v>
      </c>
      <c r="D190" s="28" t="s">
        <v>76</v>
      </c>
      <c r="E190" s="28" t="s">
        <v>77</v>
      </c>
      <c r="F190" s="28" t="s">
        <v>78</v>
      </c>
      <c r="G190" s="28" t="s">
        <v>79</v>
      </c>
      <c r="H190" s="28" t="s">
        <v>80</v>
      </c>
      <c r="I190" s="28" t="s">
        <v>81</v>
      </c>
      <c r="J190" s="28" t="s">
        <v>82</v>
      </c>
      <c r="K190" s="28" t="s">
        <v>83</v>
      </c>
      <c r="L190" s="28" t="s">
        <v>84</v>
      </c>
      <c r="M190" s="28" t="s">
        <v>85</v>
      </c>
      <c r="N190" s="28" t="s">
        <v>86</v>
      </c>
      <c r="O190" s="41" t="s">
        <v>87</v>
      </c>
      <c r="P190" s="42" t="s">
        <v>88</v>
      </c>
      <c r="Q190" s="29" t="s">
        <v>89</v>
      </c>
      <c r="R190" s="29" t="s">
        <v>90</v>
      </c>
      <c r="S190" s="29" t="s">
        <v>91</v>
      </c>
    </row>
    <row r="191" spans="1:19" ht="15" customHeight="1" x14ac:dyDescent="0.2">
      <c r="A191" s="43" t="str">
        <f>IF(Setup!B26="","",Setup!B26)</f>
        <v>Sing Song Black tee</v>
      </c>
      <c r="B191" s="44" t="str">
        <f>IF($A191="","",Setup!C26)</f>
        <v>Apparel</v>
      </c>
      <c r="C191" s="45">
        <f>IF($A191="","",Setup!D26)</f>
        <v>550</v>
      </c>
      <c r="D191" s="46">
        <f>IF($A191="","",Setup!E26)</f>
        <v>0.3</v>
      </c>
      <c r="E191" s="45" t="str">
        <f t="shared" ref="E191:E205" si="73">IF(OR($A191="",$Q$188=""),"",$Q$188*D191)</f>
        <v/>
      </c>
      <c r="F191" s="47" t="str">
        <f t="shared" ref="F191:F205" si="74">IF(OR($A191="",C191=0,E191=""),"",ROUNDUP(E191/C191,0))</f>
        <v/>
      </c>
      <c r="G191" s="47" t="str">
        <f>IF(OR($A191="",F191=""),"",ROUND(F191*Setup!F26,0))</f>
        <v/>
      </c>
      <c r="H191" s="47" t="str">
        <f>IF(OR($A191="",F191=""),"",ROUND(F191*Setup!G26,0))</f>
        <v/>
      </c>
      <c r="I191" s="47" t="str">
        <f>IF(OR($A191="",F191=""),"",ROUND(F191*Setup!H26,0))</f>
        <v/>
      </c>
      <c r="J191" s="47" t="str">
        <f>IF(OR($A191="",F191=""),"",ROUND(F191*Setup!I26,0))</f>
        <v/>
      </c>
      <c r="K191" s="47" t="str">
        <f>IF(OR($A191="",F191=""),"",ROUND(F191*Setup!J26,0))</f>
        <v/>
      </c>
      <c r="L191" s="47" t="str">
        <f>IF(OR($A191="",F191=""),"",ROUND(F191*Setup!K26,0))</f>
        <v/>
      </c>
      <c r="M191" s="47" t="str">
        <f>IF(OR($A191="",F191=""),"",ROUND(F191*Setup!L26,0))</f>
        <v/>
      </c>
      <c r="N191" s="45" t="str">
        <f t="shared" ref="N191:N205" si="75">IF(OR($A191="",F191=""),"",F191*C191)</f>
        <v/>
      </c>
      <c r="O191" s="48" t="str">
        <f>IF(OR($A191="",N191=""),"",N191*Setup!$B$6/(1+Setup!$B$6))</f>
        <v/>
      </c>
      <c r="P191" s="45" t="str">
        <f t="shared" ref="P191:P205" si="76">IF(OR($A191="",N191=""),"",N191-O191)</f>
        <v/>
      </c>
      <c r="Q191" s="49">
        <f>IF($A191="","",Setup!S26)</f>
        <v>169</v>
      </c>
      <c r="R191" s="49" t="str">
        <f t="shared" ref="R191:R205" si="77">IF(OR($A191="",F191="",Q191=""),"",F191*Q191)</f>
        <v/>
      </c>
      <c r="S191" s="50" t="str">
        <f t="shared" ref="S191:S205" si="78">IF(OR($A191="",P191="",R191=""),"",P191-R191)</f>
        <v/>
      </c>
    </row>
    <row r="192" spans="1:19" ht="15" customHeight="1" x14ac:dyDescent="0.2">
      <c r="A192" s="51" t="str">
        <f>IF(Setup!B27="","",Setup!B27)</f>
        <v>Kingston Black Tee</v>
      </c>
      <c r="B192" s="52" t="str">
        <f>IF($A192="","",Setup!C27)</f>
        <v>Apparel</v>
      </c>
      <c r="C192" s="53">
        <f>IF($A192="","",Setup!D27)</f>
        <v>550</v>
      </c>
      <c r="D192" s="54">
        <f>IF($A192="","",Setup!E27)</f>
        <v>0.2</v>
      </c>
      <c r="E192" s="53" t="str">
        <f t="shared" si="73"/>
        <v/>
      </c>
      <c r="F192" s="55" t="str">
        <f t="shared" si="74"/>
        <v/>
      </c>
      <c r="G192" s="55" t="str">
        <f>IF(OR($A192="",F192=""),"",ROUND(F192*Setup!F27,0))</f>
        <v/>
      </c>
      <c r="H192" s="55" t="str">
        <f>IF(OR($A192="",F192=""),"",ROUND(F192*Setup!G27,0))</f>
        <v/>
      </c>
      <c r="I192" s="55" t="str">
        <f>IF(OR($A192="",F192=""),"",ROUND(F192*Setup!H27,0))</f>
        <v/>
      </c>
      <c r="J192" s="55" t="str">
        <f>IF(OR($A192="",F192=""),"",ROUND(F192*Setup!I27,0))</f>
        <v/>
      </c>
      <c r="K192" s="55" t="str">
        <f>IF(OR($A192="",F192=""),"",ROUND(F192*Setup!J27,0))</f>
        <v/>
      </c>
      <c r="L192" s="55" t="str">
        <f>IF(OR($A192="",F192=""),"",ROUND(F192*Setup!K27,0))</f>
        <v/>
      </c>
      <c r="M192" s="55" t="str">
        <f>IF(OR($A192="",F192=""),"",ROUND(F192*Setup!L27,0))</f>
        <v/>
      </c>
      <c r="N192" s="53" t="str">
        <f t="shared" si="75"/>
        <v/>
      </c>
      <c r="O192" s="56" t="str">
        <f>IF(OR($A192="",N192=""),"",N192*Setup!$B$6/(1+Setup!$B$6))</f>
        <v/>
      </c>
      <c r="P192" s="53" t="str">
        <f t="shared" si="76"/>
        <v/>
      </c>
      <c r="Q192" s="57">
        <f>IF($A192="","",Setup!S27)</f>
        <v>169</v>
      </c>
      <c r="R192" s="57" t="str">
        <f t="shared" si="77"/>
        <v/>
      </c>
      <c r="S192" s="58" t="str">
        <f t="shared" si="78"/>
        <v/>
      </c>
    </row>
    <row r="193" spans="1:19" ht="15" customHeight="1" x14ac:dyDescent="0.2">
      <c r="A193" s="43" t="str">
        <f>IF(Setup!B28="","",Setup!B28)</f>
        <v>Red Red Wine White tee</v>
      </c>
      <c r="B193" s="44" t="str">
        <f>IF($A193="","",Setup!C28)</f>
        <v>Apparel</v>
      </c>
      <c r="C193" s="45">
        <f>IF($A193="","",Setup!D28)</f>
        <v>550</v>
      </c>
      <c r="D193" s="46">
        <f>IF($A193="","",Setup!E28)</f>
        <v>0.3</v>
      </c>
      <c r="E193" s="45" t="str">
        <f t="shared" si="73"/>
        <v/>
      </c>
      <c r="F193" s="47" t="str">
        <f t="shared" si="74"/>
        <v/>
      </c>
      <c r="G193" s="47" t="str">
        <f>IF(OR($A193="",F193=""),"",ROUND(F193*Setup!F28,0))</f>
        <v/>
      </c>
      <c r="H193" s="47" t="str">
        <f>IF(OR($A193="",F193=""),"",ROUND(F193*Setup!G28,0))</f>
        <v/>
      </c>
      <c r="I193" s="47" t="str">
        <f>IF(OR($A193="",F193=""),"",ROUND(F193*Setup!H28,0))</f>
        <v/>
      </c>
      <c r="J193" s="47" t="str">
        <f>IF(OR($A193="",F193=""),"",ROUND(F193*Setup!I28,0))</f>
        <v/>
      </c>
      <c r="K193" s="47" t="str">
        <f>IF(OR($A193="",F193=""),"",ROUND(F193*Setup!J28,0))</f>
        <v/>
      </c>
      <c r="L193" s="47" t="str">
        <f>IF(OR($A193="",F193=""),"",ROUND(F193*Setup!K28,0))</f>
        <v/>
      </c>
      <c r="M193" s="47" t="str">
        <f>IF(OR($A193="",F193=""),"",ROUND(F193*Setup!L28,0))</f>
        <v/>
      </c>
      <c r="N193" s="45" t="str">
        <f t="shared" si="75"/>
        <v/>
      </c>
      <c r="O193" s="48" t="str">
        <f>IF(OR($A193="",N193=""),"",N193*Setup!$B$6/(1+Setup!$B$6))</f>
        <v/>
      </c>
      <c r="P193" s="45" t="str">
        <f t="shared" si="76"/>
        <v/>
      </c>
      <c r="Q193" s="49">
        <f>IF($A193="","",Setup!S28)</f>
        <v>162</v>
      </c>
      <c r="R193" s="49" t="str">
        <f t="shared" si="77"/>
        <v/>
      </c>
      <c r="S193" s="50" t="str">
        <f t="shared" si="78"/>
        <v/>
      </c>
    </row>
    <row r="194" spans="1:19" ht="15" customHeight="1" x14ac:dyDescent="0.2">
      <c r="A194" s="51" t="str">
        <f>IF(Setup!B29="","",Setup!B29)</f>
        <v>Cap</v>
      </c>
      <c r="B194" s="52" t="str">
        <f>IF($A194="","",Setup!C29)</f>
        <v>Accessory</v>
      </c>
      <c r="C194" s="53">
        <f>IF($A194="","",Setup!D29)</f>
        <v>350</v>
      </c>
      <c r="D194" s="54">
        <f>IF($A194="","",Setup!E29)</f>
        <v>0.13</v>
      </c>
      <c r="E194" s="53" t="str">
        <f t="shared" si="73"/>
        <v/>
      </c>
      <c r="F194" s="55" t="str">
        <f t="shared" si="74"/>
        <v/>
      </c>
      <c r="G194" s="55" t="str">
        <f>IF(OR($A194="",F194=""),"",ROUND(F194*Setup!F29,0))</f>
        <v/>
      </c>
      <c r="H194" s="55" t="str">
        <f>IF(OR($A194="",F194=""),"",ROUND(F194*Setup!G29,0))</f>
        <v/>
      </c>
      <c r="I194" s="55" t="str">
        <f>IF(OR($A194="",F194=""),"",ROUND(F194*Setup!H29,0))</f>
        <v/>
      </c>
      <c r="J194" s="55" t="str">
        <f>IF(OR($A194="",F194=""),"",ROUND(F194*Setup!I29,0))</f>
        <v/>
      </c>
      <c r="K194" s="55" t="str">
        <f>IF(OR($A194="",F194=""),"",ROUND(F194*Setup!J29,0))</f>
        <v/>
      </c>
      <c r="L194" s="55" t="str">
        <f>IF(OR($A194="",F194=""),"",ROUND(F194*Setup!K29,0))</f>
        <v/>
      </c>
      <c r="M194" s="55" t="str">
        <f>IF(OR($A194="",F194=""),"",ROUND(F194*Setup!L29,0))</f>
        <v/>
      </c>
      <c r="N194" s="53" t="str">
        <f t="shared" si="75"/>
        <v/>
      </c>
      <c r="O194" s="56" t="str">
        <f>IF(OR($A194="",N194=""),"",N194*Setup!$B$6/(1+Setup!$B$6))</f>
        <v/>
      </c>
      <c r="P194" s="53" t="str">
        <f t="shared" si="76"/>
        <v/>
      </c>
      <c r="Q194" s="57">
        <f>IF($A194="","",Setup!S29)</f>
        <v>96</v>
      </c>
      <c r="R194" s="57" t="str">
        <f t="shared" si="77"/>
        <v/>
      </c>
      <c r="S194" s="58" t="str">
        <f t="shared" si="78"/>
        <v/>
      </c>
    </row>
    <row r="195" spans="1:19" ht="15" customHeight="1" x14ac:dyDescent="0.2">
      <c r="A195" s="43" t="str">
        <f>IF(Setup!B30="","",Setup!B30)</f>
        <v>Tote</v>
      </c>
      <c r="B195" s="44" t="str">
        <f>IF($A195="","",Setup!C30)</f>
        <v>Accessory</v>
      </c>
      <c r="C195" s="45">
        <f>IF($A195="","",Setup!D30)</f>
        <v>100</v>
      </c>
      <c r="D195" s="46">
        <f>IF($A195="","",Setup!E30)</f>
        <v>7.0000000000000007E-2</v>
      </c>
      <c r="E195" s="45" t="str">
        <f t="shared" si="73"/>
        <v/>
      </c>
      <c r="F195" s="47" t="str">
        <f t="shared" si="74"/>
        <v/>
      </c>
      <c r="G195" s="47" t="str">
        <f>IF(OR($A195="",F195=""),"",ROUND(F195*Setup!F30,0))</f>
        <v/>
      </c>
      <c r="H195" s="47" t="str">
        <f>IF(OR($A195="",F195=""),"",ROUND(F195*Setup!G30,0))</f>
        <v/>
      </c>
      <c r="I195" s="47" t="str">
        <f>IF(OR($A195="",F195=""),"",ROUND(F195*Setup!H30,0))</f>
        <v/>
      </c>
      <c r="J195" s="47" t="str">
        <f>IF(OR($A195="",F195=""),"",ROUND(F195*Setup!I30,0))</f>
        <v/>
      </c>
      <c r="K195" s="47" t="str">
        <f>IF(OR($A195="",F195=""),"",ROUND(F195*Setup!J30,0))</f>
        <v/>
      </c>
      <c r="L195" s="47" t="str">
        <f>IF(OR($A195="",F195=""),"",ROUND(F195*Setup!K30,0))</f>
        <v/>
      </c>
      <c r="M195" s="47" t="str">
        <f>IF(OR($A195="",F195=""),"",ROUND(F195*Setup!L30,0))</f>
        <v/>
      </c>
      <c r="N195" s="45" t="str">
        <f t="shared" si="75"/>
        <v/>
      </c>
      <c r="O195" s="48" t="str">
        <f>IF(OR($A195="",N195=""),"",N195*Setup!$B$6/(1+Setup!$B$6))</f>
        <v/>
      </c>
      <c r="P195" s="45" t="str">
        <f t="shared" si="76"/>
        <v/>
      </c>
      <c r="Q195" s="49">
        <f>IF($A195="","",Setup!S30)</f>
        <v>50</v>
      </c>
      <c r="R195" s="49" t="str">
        <f t="shared" si="77"/>
        <v/>
      </c>
      <c r="S195" s="50" t="str">
        <f t="shared" si="78"/>
        <v/>
      </c>
    </row>
    <row r="196" spans="1:19" ht="15" customHeight="1" x14ac:dyDescent="0.2">
      <c r="A196" s="51" t="str">
        <f>IF(Setup!B31="","",Setup!B31)</f>
        <v/>
      </c>
      <c r="B196" s="52" t="str">
        <f>IF($A196="","",Setup!C31)</f>
        <v/>
      </c>
      <c r="C196" s="53" t="str">
        <f>IF($A196="","",Setup!D31)</f>
        <v/>
      </c>
      <c r="D196" s="54" t="str">
        <f>IF($A196="","",Setup!E31)</f>
        <v/>
      </c>
      <c r="E196" s="53" t="str">
        <f t="shared" si="73"/>
        <v/>
      </c>
      <c r="F196" s="55" t="str">
        <f t="shared" si="74"/>
        <v/>
      </c>
      <c r="G196" s="55" t="str">
        <f>IF(OR($A196="",F196=""),"",ROUND(F196*Setup!F31,0))</f>
        <v/>
      </c>
      <c r="H196" s="55" t="str">
        <f>IF(OR($A196="",F196=""),"",ROUND(F196*Setup!G31,0))</f>
        <v/>
      </c>
      <c r="I196" s="55" t="str">
        <f>IF(OR($A196="",F196=""),"",ROUND(F196*Setup!H31,0))</f>
        <v/>
      </c>
      <c r="J196" s="55" t="str">
        <f>IF(OR($A196="",F196=""),"",ROUND(F196*Setup!I31,0))</f>
        <v/>
      </c>
      <c r="K196" s="55" t="str">
        <f>IF(OR($A196="",F196=""),"",ROUND(F196*Setup!J31,0))</f>
        <v/>
      </c>
      <c r="L196" s="55" t="str">
        <f>IF(OR($A196="",F196=""),"",ROUND(F196*Setup!K31,0))</f>
        <v/>
      </c>
      <c r="M196" s="55" t="str">
        <f>IF(OR($A196="",F196=""),"",ROUND(F196*Setup!L31,0))</f>
        <v/>
      </c>
      <c r="N196" s="53" t="str">
        <f t="shared" si="75"/>
        <v/>
      </c>
      <c r="O196" s="56" t="str">
        <f>IF(OR($A196="",N196=""),"",N196*Setup!$B$6/(1+Setup!$B$6))</f>
        <v/>
      </c>
      <c r="P196" s="53" t="str">
        <f t="shared" si="76"/>
        <v/>
      </c>
      <c r="Q196" s="57" t="str">
        <f>IF($A196="","",Setup!S31)</f>
        <v/>
      </c>
      <c r="R196" s="57" t="str">
        <f t="shared" si="77"/>
        <v/>
      </c>
      <c r="S196" s="58" t="str">
        <f t="shared" si="78"/>
        <v/>
      </c>
    </row>
    <row r="197" spans="1:19" ht="15" customHeight="1" x14ac:dyDescent="0.2">
      <c r="A197" s="43" t="str">
        <f>IF(Setup!B32="","",Setup!B32)</f>
        <v/>
      </c>
      <c r="B197" s="44" t="str">
        <f>IF($A197="","",Setup!C32)</f>
        <v/>
      </c>
      <c r="C197" s="45" t="str">
        <f>IF($A197="","",Setup!D32)</f>
        <v/>
      </c>
      <c r="D197" s="46" t="str">
        <f>IF($A197="","",Setup!E32)</f>
        <v/>
      </c>
      <c r="E197" s="45" t="str">
        <f t="shared" si="73"/>
        <v/>
      </c>
      <c r="F197" s="47" t="str">
        <f t="shared" si="74"/>
        <v/>
      </c>
      <c r="G197" s="47" t="str">
        <f>IF(OR($A197="",F197=""),"",ROUND(F197*Setup!F32,0))</f>
        <v/>
      </c>
      <c r="H197" s="47" t="str">
        <f>IF(OR($A197="",F197=""),"",ROUND(F197*Setup!G32,0))</f>
        <v/>
      </c>
      <c r="I197" s="47" t="str">
        <f>IF(OR($A197="",F197=""),"",ROUND(F197*Setup!H32,0))</f>
        <v/>
      </c>
      <c r="J197" s="47" t="str">
        <f>IF(OR($A197="",F197=""),"",ROUND(F197*Setup!I32,0))</f>
        <v/>
      </c>
      <c r="K197" s="47" t="str">
        <f>IF(OR($A197="",F197=""),"",ROUND(F197*Setup!J32,0))</f>
        <v/>
      </c>
      <c r="L197" s="47" t="str">
        <f>IF(OR($A197="",F197=""),"",ROUND(F197*Setup!K32,0))</f>
        <v/>
      </c>
      <c r="M197" s="47" t="str">
        <f>IF(OR($A197="",F197=""),"",ROUND(F197*Setup!L32,0))</f>
        <v/>
      </c>
      <c r="N197" s="45" t="str">
        <f t="shared" si="75"/>
        <v/>
      </c>
      <c r="O197" s="48" t="str">
        <f>IF(OR($A197="",N197=""),"",N197*Setup!$B$6/(1+Setup!$B$6))</f>
        <v/>
      </c>
      <c r="P197" s="45" t="str">
        <f t="shared" si="76"/>
        <v/>
      </c>
      <c r="Q197" s="49" t="str">
        <f>IF($A197="","",Setup!S32)</f>
        <v/>
      </c>
      <c r="R197" s="49" t="str">
        <f t="shared" si="77"/>
        <v/>
      </c>
      <c r="S197" s="50" t="str">
        <f t="shared" si="78"/>
        <v/>
      </c>
    </row>
    <row r="198" spans="1:19" ht="15" customHeight="1" x14ac:dyDescent="0.2">
      <c r="A198" s="51" t="str">
        <f>IF(Setup!B33="","",Setup!B33)</f>
        <v/>
      </c>
      <c r="B198" s="52" t="str">
        <f>IF($A198="","",Setup!C33)</f>
        <v/>
      </c>
      <c r="C198" s="53" t="str">
        <f>IF($A198="","",Setup!D33)</f>
        <v/>
      </c>
      <c r="D198" s="54" t="str">
        <f>IF($A198="","",Setup!E33)</f>
        <v/>
      </c>
      <c r="E198" s="53" t="str">
        <f t="shared" si="73"/>
        <v/>
      </c>
      <c r="F198" s="55" t="str">
        <f t="shared" si="74"/>
        <v/>
      </c>
      <c r="G198" s="55" t="str">
        <f>IF(OR($A198="",F198=""),"",ROUND(F198*Setup!F33,0))</f>
        <v/>
      </c>
      <c r="H198" s="55" t="str">
        <f>IF(OR($A198="",F198=""),"",ROUND(F198*Setup!G33,0))</f>
        <v/>
      </c>
      <c r="I198" s="55" t="str">
        <f>IF(OR($A198="",F198=""),"",ROUND(F198*Setup!H33,0))</f>
        <v/>
      </c>
      <c r="J198" s="55" t="str">
        <f>IF(OR($A198="",F198=""),"",ROUND(F198*Setup!I33,0))</f>
        <v/>
      </c>
      <c r="K198" s="55" t="str">
        <f>IF(OR($A198="",F198=""),"",ROUND(F198*Setup!J33,0))</f>
        <v/>
      </c>
      <c r="L198" s="55" t="str">
        <f>IF(OR($A198="",F198=""),"",ROUND(F198*Setup!K33,0))</f>
        <v/>
      </c>
      <c r="M198" s="55" t="str">
        <f>IF(OR($A198="",F198=""),"",ROUND(F198*Setup!L33,0))</f>
        <v/>
      </c>
      <c r="N198" s="53" t="str">
        <f t="shared" si="75"/>
        <v/>
      </c>
      <c r="O198" s="56" t="str">
        <f>IF(OR($A198="",N198=""),"",N198*Setup!$B$6/(1+Setup!$B$6))</f>
        <v/>
      </c>
      <c r="P198" s="53" t="str">
        <f t="shared" si="76"/>
        <v/>
      </c>
      <c r="Q198" s="57" t="str">
        <f>IF($A198="","",Setup!S33)</f>
        <v/>
      </c>
      <c r="R198" s="57" t="str">
        <f t="shared" si="77"/>
        <v/>
      </c>
      <c r="S198" s="58" t="str">
        <f t="shared" si="78"/>
        <v/>
      </c>
    </row>
    <row r="199" spans="1:19" ht="15" customHeight="1" x14ac:dyDescent="0.2">
      <c r="A199" s="43" t="str">
        <f>IF(Setup!B34="","",Setup!B34)</f>
        <v/>
      </c>
      <c r="B199" s="44" t="str">
        <f>IF($A199="","",Setup!C34)</f>
        <v/>
      </c>
      <c r="C199" s="45" t="str">
        <f>IF($A199="","",Setup!D34)</f>
        <v/>
      </c>
      <c r="D199" s="46" t="str">
        <f>IF($A199="","",Setup!E34)</f>
        <v/>
      </c>
      <c r="E199" s="45" t="str">
        <f t="shared" si="73"/>
        <v/>
      </c>
      <c r="F199" s="47" t="str">
        <f t="shared" si="74"/>
        <v/>
      </c>
      <c r="G199" s="47" t="str">
        <f>IF(OR($A199="",F199=""),"",ROUND(F199*Setup!F34,0))</f>
        <v/>
      </c>
      <c r="H199" s="47" t="str">
        <f>IF(OR($A199="",F199=""),"",ROUND(F199*Setup!G34,0))</f>
        <v/>
      </c>
      <c r="I199" s="47" t="str">
        <f>IF(OR($A199="",F199=""),"",ROUND(F199*Setup!H34,0))</f>
        <v/>
      </c>
      <c r="J199" s="47" t="str">
        <f>IF(OR($A199="",F199=""),"",ROUND(F199*Setup!I34,0))</f>
        <v/>
      </c>
      <c r="K199" s="47" t="str">
        <f>IF(OR($A199="",F199=""),"",ROUND(F199*Setup!J34,0))</f>
        <v/>
      </c>
      <c r="L199" s="47" t="str">
        <f>IF(OR($A199="",F199=""),"",ROUND(F199*Setup!K34,0))</f>
        <v/>
      </c>
      <c r="M199" s="47" t="str">
        <f>IF(OR($A199="",F199=""),"",ROUND(F199*Setup!L34,0))</f>
        <v/>
      </c>
      <c r="N199" s="45" t="str">
        <f t="shared" si="75"/>
        <v/>
      </c>
      <c r="O199" s="48" t="str">
        <f>IF(OR($A199="",N199=""),"",N199*Setup!$B$6/(1+Setup!$B$6))</f>
        <v/>
      </c>
      <c r="P199" s="45" t="str">
        <f t="shared" si="76"/>
        <v/>
      </c>
      <c r="Q199" s="49" t="str">
        <f>IF($A199="","",Setup!S34)</f>
        <v/>
      </c>
      <c r="R199" s="49" t="str">
        <f t="shared" si="77"/>
        <v/>
      </c>
      <c r="S199" s="50" t="str">
        <f t="shared" si="78"/>
        <v/>
      </c>
    </row>
    <row r="200" spans="1:19" ht="15" customHeight="1" x14ac:dyDescent="0.2">
      <c r="A200" s="51" t="str">
        <f>IF(Setup!B35="","",Setup!B35)</f>
        <v/>
      </c>
      <c r="B200" s="52" t="str">
        <f>IF($A200="","",Setup!C35)</f>
        <v/>
      </c>
      <c r="C200" s="53" t="str">
        <f>IF($A200="","",Setup!D35)</f>
        <v/>
      </c>
      <c r="D200" s="54" t="str">
        <f>IF($A200="","",Setup!E35)</f>
        <v/>
      </c>
      <c r="E200" s="53" t="str">
        <f t="shared" si="73"/>
        <v/>
      </c>
      <c r="F200" s="55" t="str">
        <f t="shared" si="74"/>
        <v/>
      </c>
      <c r="G200" s="55" t="str">
        <f>IF(OR($A200="",F200=""),"",ROUND(F200*Setup!F35,0))</f>
        <v/>
      </c>
      <c r="H200" s="55" t="str">
        <f>IF(OR($A200="",F200=""),"",ROUND(F200*Setup!G35,0))</f>
        <v/>
      </c>
      <c r="I200" s="55" t="str">
        <f>IF(OR($A200="",F200=""),"",ROUND(F200*Setup!H35,0))</f>
        <v/>
      </c>
      <c r="J200" s="55" t="str">
        <f>IF(OR($A200="",F200=""),"",ROUND(F200*Setup!I35,0))</f>
        <v/>
      </c>
      <c r="K200" s="55" t="str">
        <f>IF(OR($A200="",F200=""),"",ROUND(F200*Setup!J35,0))</f>
        <v/>
      </c>
      <c r="L200" s="55" t="str">
        <f>IF(OR($A200="",F200=""),"",ROUND(F200*Setup!K35,0))</f>
        <v/>
      </c>
      <c r="M200" s="55" t="str">
        <f>IF(OR($A200="",F200=""),"",ROUND(F200*Setup!L35,0))</f>
        <v/>
      </c>
      <c r="N200" s="53" t="str">
        <f t="shared" si="75"/>
        <v/>
      </c>
      <c r="O200" s="56" t="str">
        <f>IF(OR($A200="",N200=""),"",N200*Setup!$B$6/(1+Setup!$B$6))</f>
        <v/>
      </c>
      <c r="P200" s="53" t="str">
        <f t="shared" si="76"/>
        <v/>
      </c>
      <c r="Q200" s="57" t="str">
        <f>IF($A200="","",Setup!S35)</f>
        <v/>
      </c>
      <c r="R200" s="57" t="str">
        <f t="shared" si="77"/>
        <v/>
      </c>
      <c r="S200" s="58" t="str">
        <f t="shared" si="78"/>
        <v/>
      </c>
    </row>
    <row r="201" spans="1:19" ht="15" customHeight="1" x14ac:dyDescent="0.2">
      <c r="A201" s="43" t="str">
        <f>IF(Setup!B36="","",Setup!B36)</f>
        <v/>
      </c>
      <c r="B201" s="44" t="str">
        <f>IF($A201="","",Setup!C36)</f>
        <v/>
      </c>
      <c r="C201" s="45" t="str">
        <f>IF($A201="","",Setup!D36)</f>
        <v/>
      </c>
      <c r="D201" s="46" t="str">
        <f>IF($A201="","",Setup!E36)</f>
        <v/>
      </c>
      <c r="E201" s="45" t="str">
        <f t="shared" si="73"/>
        <v/>
      </c>
      <c r="F201" s="47" t="str">
        <f t="shared" si="74"/>
        <v/>
      </c>
      <c r="G201" s="47" t="str">
        <f>IF(OR($A201="",F201=""),"",ROUND(F201*Setup!F36,0))</f>
        <v/>
      </c>
      <c r="H201" s="47" t="str">
        <f>IF(OR($A201="",F201=""),"",ROUND(F201*Setup!G36,0))</f>
        <v/>
      </c>
      <c r="I201" s="47" t="str">
        <f>IF(OR($A201="",F201=""),"",ROUND(F201*Setup!H36,0))</f>
        <v/>
      </c>
      <c r="J201" s="47" t="str">
        <f>IF(OR($A201="",F201=""),"",ROUND(F201*Setup!I36,0))</f>
        <v/>
      </c>
      <c r="K201" s="47" t="str">
        <f>IF(OR($A201="",F201=""),"",ROUND(F201*Setup!J36,0))</f>
        <v/>
      </c>
      <c r="L201" s="47" t="str">
        <f>IF(OR($A201="",F201=""),"",ROUND(F201*Setup!K36,0))</f>
        <v/>
      </c>
      <c r="M201" s="47" t="str">
        <f>IF(OR($A201="",F201=""),"",ROUND(F201*Setup!L36,0))</f>
        <v/>
      </c>
      <c r="N201" s="45" t="str">
        <f t="shared" si="75"/>
        <v/>
      </c>
      <c r="O201" s="48" t="str">
        <f>IF(OR($A201="",N201=""),"",N201*Setup!$B$6/(1+Setup!$B$6))</f>
        <v/>
      </c>
      <c r="P201" s="45" t="str">
        <f t="shared" si="76"/>
        <v/>
      </c>
      <c r="Q201" s="49" t="str">
        <f>IF($A201="","",Setup!S36)</f>
        <v/>
      </c>
      <c r="R201" s="49" t="str">
        <f t="shared" si="77"/>
        <v/>
      </c>
      <c r="S201" s="50" t="str">
        <f t="shared" si="78"/>
        <v/>
      </c>
    </row>
    <row r="202" spans="1:19" ht="15" customHeight="1" x14ac:dyDescent="0.2">
      <c r="A202" s="51" t="str">
        <f>IF(Setup!B37="","",Setup!B37)</f>
        <v/>
      </c>
      <c r="B202" s="52" t="str">
        <f>IF($A202="","",Setup!C37)</f>
        <v/>
      </c>
      <c r="C202" s="53" t="str">
        <f>IF($A202="","",Setup!D37)</f>
        <v/>
      </c>
      <c r="D202" s="54" t="str">
        <f>IF($A202="","",Setup!E37)</f>
        <v/>
      </c>
      <c r="E202" s="53" t="str">
        <f t="shared" si="73"/>
        <v/>
      </c>
      <c r="F202" s="55" t="str">
        <f t="shared" si="74"/>
        <v/>
      </c>
      <c r="G202" s="55" t="str">
        <f>IF(OR($A202="",F202=""),"",ROUND(F202*Setup!F37,0))</f>
        <v/>
      </c>
      <c r="H202" s="55" t="str">
        <f>IF(OR($A202="",F202=""),"",ROUND(F202*Setup!G37,0))</f>
        <v/>
      </c>
      <c r="I202" s="55" t="str">
        <f>IF(OR($A202="",F202=""),"",ROUND(F202*Setup!H37,0))</f>
        <v/>
      </c>
      <c r="J202" s="55" t="str">
        <f>IF(OR($A202="",F202=""),"",ROUND(F202*Setup!I37,0))</f>
        <v/>
      </c>
      <c r="K202" s="55" t="str">
        <f>IF(OR($A202="",F202=""),"",ROUND(F202*Setup!J37,0))</f>
        <v/>
      </c>
      <c r="L202" s="55" t="str">
        <f>IF(OR($A202="",F202=""),"",ROUND(F202*Setup!K37,0))</f>
        <v/>
      </c>
      <c r="M202" s="55" t="str">
        <f>IF(OR($A202="",F202=""),"",ROUND(F202*Setup!L37,0))</f>
        <v/>
      </c>
      <c r="N202" s="53" t="str">
        <f t="shared" si="75"/>
        <v/>
      </c>
      <c r="O202" s="56" t="str">
        <f>IF(OR($A202="",N202=""),"",N202*Setup!$B$6/(1+Setup!$B$6))</f>
        <v/>
      </c>
      <c r="P202" s="53" t="str">
        <f t="shared" si="76"/>
        <v/>
      </c>
      <c r="Q202" s="57" t="str">
        <f>IF($A202="","",Setup!S37)</f>
        <v/>
      </c>
      <c r="R202" s="57" t="str">
        <f t="shared" si="77"/>
        <v/>
      </c>
      <c r="S202" s="58" t="str">
        <f t="shared" si="78"/>
        <v/>
      </c>
    </row>
    <row r="203" spans="1:19" ht="15" customHeight="1" x14ac:dyDescent="0.2">
      <c r="A203" s="43" t="str">
        <f>IF(Setup!B38="","",Setup!B38)</f>
        <v/>
      </c>
      <c r="B203" s="44" t="str">
        <f>IF($A203="","",Setup!C38)</f>
        <v/>
      </c>
      <c r="C203" s="45" t="str">
        <f>IF($A203="","",Setup!D38)</f>
        <v/>
      </c>
      <c r="D203" s="46" t="str">
        <f>IF($A203="","",Setup!E38)</f>
        <v/>
      </c>
      <c r="E203" s="45" t="str">
        <f t="shared" si="73"/>
        <v/>
      </c>
      <c r="F203" s="47" t="str">
        <f t="shared" si="74"/>
        <v/>
      </c>
      <c r="G203" s="47" t="str">
        <f>IF(OR($A203="",F203=""),"",ROUND(F203*Setup!F38,0))</f>
        <v/>
      </c>
      <c r="H203" s="47" t="str">
        <f>IF(OR($A203="",F203=""),"",ROUND(F203*Setup!G38,0))</f>
        <v/>
      </c>
      <c r="I203" s="47" t="str">
        <f>IF(OR($A203="",F203=""),"",ROUND(F203*Setup!H38,0))</f>
        <v/>
      </c>
      <c r="J203" s="47" t="str">
        <f>IF(OR($A203="",F203=""),"",ROUND(F203*Setup!I38,0))</f>
        <v/>
      </c>
      <c r="K203" s="47" t="str">
        <f>IF(OR($A203="",F203=""),"",ROUND(F203*Setup!J38,0))</f>
        <v/>
      </c>
      <c r="L203" s="47" t="str">
        <f>IF(OR($A203="",F203=""),"",ROUND(F203*Setup!K38,0))</f>
        <v/>
      </c>
      <c r="M203" s="47" t="str">
        <f>IF(OR($A203="",F203=""),"",ROUND(F203*Setup!L38,0))</f>
        <v/>
      </c>
      <c r="N203" s="45" t="str">
        <f t="shared" si="75"/>
        <v/>
      </c>
      <c r="O203" s="48" t="str">
        <f>IF(OR($A203="",N203=""),"",N203*Setup!$B$6/(1+Setup!$B$6))</f>
        <v/>
      </c>
      <c r="P203" s="45" t="str">
        <f t="shared" si="76"/>
        <v/>
      </c>
      <c r="Q203" s="49" t="str">
        <f>IF($A203="","",Setup!S38)</f>
        <v/>
      </c>
      <c r="R203" s="49" t="str">
        <f t="shared" si="77"/>
        <v/>
      </c>
      <c r="S203" s="50" t="str">
        <f t="shared" si="78"/>
        <v/>
      </c>
    </row>
    <row r="204" spans="1:19" ht="15" customHeight="1" x14ac:dyDescent="0.2">
      <c r="A204" s="51" t="str">
        <f>IF(Setup!B39="","",Setup!B39)</f>
        <v/>
      </c>
      <c r="B204" s="52" t="str">
        <f>IF($A204="","",Setup!C39)</f>
        <v/>
      </c>
      <c r="C204" s="53" t="str">
        <f>IF($A204="","",Setup!D39)</f>
        <v/>
      </c>
      <c r="D204" s="54" t="str">
        <f>IF($A204="","",Setup!E39)</f>
        <v/>
      </c>
      <c r="E204" s="53" t="str">
        <f t="shared" si="73"/>
        <v/>
      </c>
      <c r="F204" s="55" t="str">
        <f t="shared" si="74"/>
        <v/>
      </c>
      <c r="G204" s="55" t="str">
        <f>IF(OR($A204="",F204=""),"",ROUND(F204*Setup!F39,0))</f>
        <v/>
      </c>
      <c r="H204" s="55" t="str">
        <f>IF(OR($A204="",F204=""),"",ROUND(F204*Setup!G39,0))</f>
        <v/>
      </c>
      <c r="I204" s="55" t="str">
        <f>IF(OR($A204="",F204=""),"",ROUND(F204*Setup!H39,0))</f>
        <v/>
      </c>
      <c r="J204" s="55" t="str">
        <f>IF(OR($A204="",F204=""),"",ROUND(F204*Setup!I39,0))</f>
        <v/>
      </c>
      <c r="K204" s="55" t="str">
        <f>IF(OR($A204="",F204=""),"",ROUND(F204*Setup!J39,0))</f>
        <v/>
      </c>
      <c r="L204" s="55" t="str">
        <f>IF(OR($A204="",F204=""),"",ROUND(F204*Setup!K39,0))</f>
        <v/>
      </c>
      <c r="M204" s="55" t="str">
        <f>IF(OR($A204="",F204=""),"",ROUND(F204*Setup!L39,0))</f>
        <v/>
      </c>
      <c r="N204" s="53" t="str">
        <f t="shared" si="75"/>
        <v/>
      </c>
      <c r="O204" s="56" t="str">
        <f>IF(OR($A204="",N204=""),"",N204*Setup!$B$6/(1+Setup!$B$6))</f>
        <v/>
      </c>
      <c r="P204" s="53" t="str">
        <f t="shared" si="76"/>
        <v/>
      </c>
      <c r="Q204" s="57" t="str">
        <f>IF($A204="","",Setup!S39)</f>
        <v/>
      </c>
      <c r="R204" s="57" t="str">
        <f t="shared" si="77"/>
        <v/>
      </c>
      <c r="S204" s="58" t="str">
        <f t="shared" si="78"/>
        <v/>
      </c>
    </row>
    <row r="205" spans="1:19" ht="15" customHeight="1" x14ac:dyDescent="0.2">
      <c r="A205" s="43" t="str">
        <f>IF(Setup!B40="","",Setup!B40)</f>
        <v/>
      </c>
      <c r="B205" s="44" t="str">
        <f>IF($A205="","",Setup!C40)</f>
        <v/>
      </c>
      <c r="C205" s="45" t="str">
        <f>IF($A205="","",Setup!D40)</f>
        <v/>
      </c>
      <c r="D205" s="46" t="str">
        <f>IF($A205="","",Setup!E40)</f>
        <v/>
      </c>
      <c r="E205" s="45" t="str">
        <f t="shared" si="73"/>
        <v/>
      </c>
      <c r="F205" s="47" t="str">
        <f t="shared" si="74"/>
        <v/>
      </c>
      <c r="G205" s="47" t="str">
        <f>IF(OR($A205="",F205=""),"",ROUND(F205*Setup!F40,0))</f>
        <v/>
      </c>
      <c r="H205" s="47" t="str">
        <f>IF(OR($A205="",F205=""),"",ROUND(F205*Setup!G40,0))</f>
        <v/>
      </c>
      <c r="I205" s="47" t="str">
        <f>IF(OR($A205="",F205=""),"",ROUND(F205*Setup!H40,0))</f>
        <v/>
      </c>
      <c r="J205" s="47" t="str">
        <f>IF(OR($A205="",F205=""),"",ROUND(F205*Setup!I40,0))</f>
        <v/>
      </c>
      <c r="K205" s="47" t="str">
        <f>IF(OR($A205="",F205=""),"",ROUND(F205*Setup!J40,0))</f>
        <v/>
      </c>
      <c r="L205" s="47" t="str">
        <f>IF(OR($A205="",F205=""),"",ROUND(F205*Setup!K40,0))</f>
        <v/>
      </c>
      <c r="M205" s="47" t="str">
        <f>IF(OR($A205="",F205=""),"",ROUND(F205*Setup!L40,0))</f>
        <v/>
      </c>
      <c r="N205" s="45" t="str">
        <f t="shared" si="75"/>
        <v/>
      </c>
      <c r="O205" s="48" t="str">
        <f>IF(OR($A205="",N205=""),"",N205*Setup!$B$6/(1+Setup!$B$6))</f>
        <v/>
      </c>
      <c r="P205" s="45" t="str">
        <f t="shared" si="76"/>
        <v/>
      </c>
      <c r="Q205" s="49" t="str">
        <f>IF($A205="","",Setup!S40)</f>
        <v/>
      </c>
      <c r="R205" s="49" t="str">
        <f t="shared" si="77"/>
        <v/>
      </c>
      <c r="S205" s="50" t="str">
        <f t="shared" si="78"/>
        <v/>
      </c>
    </row>
    <row r="206" spans="1:19" ht="15" customHeight="1" x14ac:dyDescent="0.2">
      <c r="A206" s="59" t="s">
        <v>100</v>
      </c>
      <c r="B206" s="26"/>
      <c r="C206" s="26"/>
      <c r="D206" s="26"/>
      <c r="E206" s="26">
        <f t="shared" ref="E206:P206" si="79">SUM(E191:E205)</f>
        <v>0</v>
      </c>
      <c r="F206" s="25">
        <f t="shared" si="79"/>
        <v>0</v>
      </c>
      <c r="G206" s="25">
        <f t="shared" si="79"/>
        <v>0</v>
      </c>
      <c r="H206" s="25">
        <f t="shared" si="79"/>
        <v>0</v>
      </c>
      <c r="I206" s="25">
        <f t="shared" si="79"/>
        <v>0</v>
      </c>
      <c r="J206" s="25">
        <f t="shared" si="79"/>
        <v>0</v>
      </c>
      <c r="K206" s="25">
        <f t="shared" si="79"/>
        <v>0</v>
      </c>
      <c r="L206" s="25">
        <f t="shared" si="79"/>
        <v>0</v>
      </c>
      <c r="M206" s="25">
        <f t="shared" si="79"/>
        <v>0</v>
      </c>
      <c r="N206" s="26">
        <f t="shared" si="79"/>
        <v>0</v>
      </c>
      <c r="O206" s="26">
        <f t="shared" si="79"/>
        <v>0</v>
      </c>
      <c r="P206" s="26">
        <f t="shared" si="79"/>
        <v>0</v>
      </c>
      <c r="Q206" s="26"/>
      <c r="R206" s="26">
        <f>SUM(R191:R205)</f>
        <v>0</v>
      </c>
      <c r="S206" s="26">
        <f>SUM(S191:S205)</f>
        <v>0</v>
      </c>
    </row>
    <row r="209" spans="1:19" ht="15.75" customHeight="1" x14ac:dyDescent="0.2">
      <c r="A209" s="95" t="str">
        <f>IF(Setup!C19="","Event 10: Not configured",UPPER(Setup!C19&amp;" - "&amp;Setup!D19&amp;" | "&amp;TEXT(Setup!B19,"DD MMM YYYY")))</f>
        <v>Event 10: Not configured</v>
      </c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4" t="s">
        <v>93</v>
      </c>
      <c r="O209" s="93"/>
      <c r="P209" s="93"/>
      <c r="Q209" s="92" t="str">
        <f>Setup!I19</f>
        <v/>
      </c>
      <c r="R209" s="93"/>
      <c r="S209" s="93"/>
    </row>
    <row r="210" spans="1:19" ht="15" customHeight="1" x14ac:dyDescent="0.2">
      <c r="A210" s="60" t="s">
        <v>94</v>
      </c>
      <c r="B210" s="61">
        <f>Setup!F19</f>
        <v>0</v>
      </c>
      <c r="C210" s="62"/>
      <c r="D210" s="60" t="s">
        <v>95</v>
      </c>
      <c r="E210" s="61">
        <f>Setup!G19</f>
        <v>0</v>
      </c>
      <c r="F210" s="62"/>
      <c r="G210" s="60" t="s">
        <v>96</v>
      </c>
      <c r="H210" s="63">
        <f>Setup!H19</f>
        <v>0</v>
      </c>
      <c r="I210" s="62"/>
      <c r="J210" s="60" t="s">
        <v>13</v>
      </c>
      <c r="K210" s="64">
        <f>Setup!B6</f>
        <v>0.15</v>
      </c>
      <c r="L210" s="62"/>
      <c r="M210" s="60" t="s">
        <v>97</v>
      </c>
      <c r="N210" s="63">
        <f>Setup!J19</f>
        <v>0</v>
      </c>
      <c r="O210" s="62"/>
      <c r="P210" s="60" t="s">
        <v>98</v>
      </c>
      <c r="Q210" s="63">
        <f>Setup!L19</f>
        <v>0</v>
      </c>
      <c r="R210" s="60" t="s">
        <v>99</v>
      </c>
      <c r="S210" s="64">
        <f>Setup!M19</f>
        <v>0</v>
      </c>
    </row>
    <row r="211" spans="1:19" ht="25.5" customHeight="1" x14ac:dyDescent="0.2">
      <c r="A211" s="28" t="s">
        <v>74</v>
      </c>
      <c r="B211" s="28" t="s">
        <v>49</v>
      </c>
      <c r="C211" s="28" t="s">
        <v>75</v>
      </c>
      <c r="D211" s="28" t="s">
        <v>76</v>
      </c>
      <c r="E211" s="28" t="s">
        <v>77</v>
      </c>
      <c r="F211" s="28" t="s">
        <v>78</v>
      </c>
      <c r="G211" s="28" t="s">
        <v>79</v>
      </c>
      <c r="H211" s="28" t="s">
        <v>80</v>
      </c>
      <c r="I211" s="28" t="s">
        <v>81</v>
      </c>
      <c r="J211" s="28" t="s">
        <v>82</v>
      </c>
      <c r="K211" s="28" t="s">
        <v>83</v>
      </c>
      <c r="L211" s="28" t="s">
        <v>84</v>
      </c>
      <c r="M211" s="28" t="s">
        <v>85</v>
      </c>
      <c r="N211" s="28" t="s">
        <v>86</v>
      </c>
      <c r="O211" s="41" t="s">
        <v>87</v>
      </c>
      <c r="P211" s="42" t="s">
        <v>88</v>
      </c>
      <c r="Q211" s="29" t="s">
        <v>89</v>
      </c>
      <c r="R211" s="29" t="s">
        <v>90</v>
      </c>
      <c r="S211" s="29" t="s">
        <v>91</v>
      </c>
    </row>
    <row r="212" spans="1:19" ht="15" customHeight="1" x14ac:dyDescent="0.2">
      <c r="A212" s="43" t="str">
        <f>IF(Setup!B26="","",Setup!B26)</f>
        <v>Sing Song Black tee</v>
      </c>
      <c r="B212" s="44" t="str">
        <f>IF($A212="","",Setup!C26)</f>
        <v>Apparel</v>
      </c>
      <c r="C212" s="45">
        <f>IF($A212="","",Setup!D26)</f>
        <v>550</v>
      </c>
      <c r="D212" s="46">
        <f>IF($A212="","",Setup!E26)</f>
        <v>0.3</v>
      </c>
      <c r="E212" s="45" t="str">
        <f t="shared" ref="E212:E226" si="80">IF(OR($A212="",$Q$209=""),"",$Q$209*D212)</f>
        <v/>
      </c>
      <c r="F212" s="47" t="str">
        <f t="shared" ref="F212:F226" si="81">IF(OR($A212="",C212=0,E212=""),"",ROUNDUP(E212/C212,0))</f>
        <v/>
      </c>
      <c r="G212" s="47" t="str">
        <f>IF(OR($A212="",F212=""),"",ROUND(F212*Setup!F26,0))</f>
        <v/>
      </c>
      <c r="H212" s="47" t="str">
        <f>IF(OR($A212="",F212=""),"",ROUND(F212*Setup!G26,0))</f>
        <v/>
      </c>
      <c r="I212" s="47" t="str">
        <f>IF(OR($A212="",F212=""),"",ROUND(F212*Setup!H26,0))</f>
        <v/>
      </c>
      <c r="J212" s="47" t="str">
        <f>IF(OR($A212="",F212=""),"",ROUND(F212*Setup!I26,0))</f>
        <v/>
      </c>
      <c r="K212" s="47" t="str">
        <f>IF(OR($A212="",F212=""),"",ROUND(F212*Setup!J26,0))</f>
        <v/>
      </c>
      <c r="L212" s="47" t="str">
        <f>IF(OR($A212="",F212=""),"",ROUND(F212*Setup!K26,0))</f>
        <v/>
      </c>
      <c r="M212" s="47" t="str">
        <f>IF(OR($A212="",F212=""),"",ROUND(F212*Setup!L26,0))</f>
        <v/>
      </c>
      <c r="N212" s="45" t="str">
        <f t="shared" ref="N212:N226" si="82">IF(OR($A212="",F212=""),"",F212*C212)</f>
        <v/>
      </c>
      <c r="O212" s="48" t="str">
        <f>IF(OR($A212="",N212=""),"",N212*Setup!$B$6/(1+Setup!$B$6))</f>
        <v/>
      </c>
      <c r="P212" s="45" t="str">
        <f t="shared" ref="P212:P226" si="83">IF(OR($A212="",N212=""),"",N212-O212)</f>
        <v/>
      </c>
      <c r="Q212" s="49">
        <f>IF($A212="","",Setup!S26)</f>
        <v>169</v>
      </c>
      <c r="R212" s="49" t="str">
        <f t="shared" ref="R212:R226" si="84">IF(OR($A212="",F212="",Q212=""),"",F212*Q212)</f>
        <v/>
      </c>
      <c r="S212" s="50" t="str">
        <f t="shared" ref="S212:S226" si="85">IF(OR($A212="",P212="",R212=""),"",P212-R212)</f>
        <v/>
      </c>
    </row>
    <row r="213" spans="1:19" ht="15" customHeight="1" x14ac:dyDescent="0.2">
      <c r="A213" s="51" t="str">
        <f>IF(Setup!B27="","",Setup!B27)</f>
        <v>Kingston Black Tee</v>
      </c>
      <c r="B213" s="52" t="str">
        <f>IF($A213="","",Setup!C27)</f>
        <v>Apparel</v>
      </c>
      <c r="C213" s="53">
        <f>IF($A213="","",Setup!D27)</f>
        <v>550</v>
      </c>
      <c r="D213" s="54">
        <f>IF($A213="","",Setup!E27)</f>
        <v>0.2</v>
      </c>
      <c r="E213" s="53" t="str">
        <f t="shared" si="80"/>
        <v/>
      </c>
      <c r="F213" s="55" t="str">
        <f t="shared" si="81"/>
        <v/>
      </c>
      <c r="G213" s="55" t="str">
        <f>IF(OR($A213="",F213=""),"",ROUND(F213*Setup!F27,0))</f>
        <v/>
      </c>
      <c r="H213" s="55" t="str">
        <f>IF(OR($A213="",F213=""),"",ROUND(F213*Setup!G27,0))</f>
        <v/>
      </c>
      <c r="I213" s="55" t="str">
        <f>IF(OR($A213="",F213=""),"",ROUND(F213*Setup!H27,0))</f>
        <v/>
      </c>
      <c r="J213" s="55" t="str">
        <f>IF(OR($A213="",F213=""),"",ROUND(F213*Setup!I27,0))</f>
        <v/>
      </c>
      <c r="K213" s="55" t="str">
        <f>IF(OR($A213="",F213=""),"",ROUND(F213*Setup!J27,0))</f>
        <v/>
      </c>
      <c r="L213" s="55" t="str">
        <f>IF(OR($A213="",F213=""),"",ROUND(F213*Setup!K27,0))</f>
        <v/>
      </c>
      <c r="M213" s="55" t="str">
        <f>IF(OR($A213="",F213=""),"",ROUND(F213*Setup!L27,0))</f>
        <v/>
      </c>
      <c r="N213" s="53" t="str">
        <f t="shared" si="82"/>
        <v/>
      </c>
      <c r="O213" s="56" t="str">
        <f>IF(OR($A213="",N213=""),"",N213*Setup!$B$6/(1+Setup!$B$6))</f>
        <v/>
      </c>
      <c r="P213" s="53" t="str">
        <f t="shared" si="83"/>
        <v/>
      </c>
      <c r="Q213" s="57">
        <f>IF($A213="","",Setup!S27)</f>
        <v>169</v>
      </c>
      <c r="R213" s="57" t="str">
        <f t="shared" si="84"/>
        <v/>
      </c>
      <c r="S213" s="58" t="str">
        <f t="shared" si="85"/>
        <v/>
      </c>
    </row>
    <row r="214" spans="1:19" ht="15" customHeight="1" x14ac:dyDescent="0.2">
      <c r="A214" s="43" t="str">
        <f>IF(Setup!B28="","",Setup!B28)</f>
        <v>Red Red Wine White tee</v>
      </c>
      <c r="B214" s="44" t="str">
        <f>IF($A214="","",Setup!C28)</f>
        <v>Apparel</v>
      </c>
      <c r="C214" s="45">
        <f>IF($A214="","",Setup!D28)</f>
        <v>550</v>
      </c>
      <c r="D214" s="46">
        <f>IF($A214="","",Setup!E28)</f>
        <v>0.3</v>
      </c>
      <c r="E214" s="45" t="str">
        <f t="shared" si="80"/>
        <v/>
      </c>
      <c r="F214" s="47" t="str">
        <f t="shared" si="81"/>
        <v/>
      </c>
      <c r="G214" s="47" t="str">
        <f>IF(OR($A214="",F214=""),"",ROUND(F214*Setup!F28,0))</f>
        <v/>
      </c>
      <c r="H214" s="47" t="str">
        <f>IF(OR($A214="",F214=""),"",ROUND(F214*Setup!G28,0))</f>
        <v/>
      </c>
      <c r="I214" s="47" t="str">
        <f>IF(OR($A214="",F214=""),"",ROUND(F214*Setup!H28,0))</f>
        <v/>
      </c>
      <c r="J214" s="47" t="str">
        <f>IF(OR($A214="",F214=""),"",ROUND(F214*Setup!I28,0))</f>
        <v/>
      </c>
      <c r="K214" s="47" t="str">
        <f>IF(OR($A214="",F214=""),"",ROUND(F214*Setup!J28,0))</f>
        <v/>
      </c>
      <c r="L214" s="47" t="str">
        <f>IF(OR($A214="",F214=""),"",ROUND(F214*Setup!K28,0))</f>
        <v/>
      </c>
      <c r="M214" s="47" t="str">
        <f>IF(OR($A214="",F214=""),"",ROUND(F214*Setup!L28,0))</f>
        <v/>
      </c>
      <c r="N214" s="45" t="str">
        <f t="shared" si="82"/>
        <v/>
      </c>
      <c r="O214" s="48" t="str">
        <f>IF(OR($A214="",N214=""),"",N214*Setup!$B$6/(1+Setup!$B$6))</f>
        <v/>
      </c>
      <c r="P214" s="45" t="str">
        <f t="shared" si="83"/>
        <v/>
      </c>
      <c r="Q214" s="49">
        <f>IF($A214="","",Setup!S28)</f>
        <v>162</v>
      </c>
      <c r="R214" s="49" t="str">
        <f t="shared" si="84"/>
        <v/>
      </c>
      <c r="S214" s="50" t="str">
        <f t="shared" si="85"/>
        <v/>
      </c>
    </row>
    <row r="215" spans="1:19" ht="15" customHeight="1" x14ac:dyDescent="0.2">
      <c r="A215" s="51" t="str">
        <f>IF(Setup!B29="","",Setup!B29)</f>
        <v>Cap</v>
      </c>
      <c r="B215" s="52" t="str">
        <f>IF($A215="","",Setup!C29)</f>
        <v>Accessory</v>
      </c>
      <c r="C215" s="53">
        <f>IF($A215="","",Setup!D29)</f>
        <v>350</v>
      </c>
      <c r="D215" s="54">
        <f>IF($A215="","",Setup!E29)</f>
        <v>0.13</v>
      </c>
      <c r="E215" s="53" t="str">
        <f t="shared" si="80"/>
        <v/>
      </c>
      <c r="F215" s="55" t="str">
        <f t="shared" si="81"/>
        <v/>
      </c>
      <c r="G215" s="55" t="str">
        <f>IF(OR($A215="",F215=""),"",ROUND(F215*Setup!F29,0))</f>
        <v/>
      </c>
      <c r="H215" s="55" t="str">
        <f>IF(OR($A215="",F215=""),"",ROUND(F215*Setup!G29,0))</f>
        <v/>
      </c>
      <c r="I215" s="55" t="str">
        <f>IF(OR($A215="",F215=""),"",ROUND(F215*Setup!H29,0))</f>
        <v/>
      </c>
      <c r="J215" s="55" t="str">
        <f>IF(OR($A215="",F215=""),"",ROUND(F215*Setup!I29,0))</f>
        <v/>
      </c>
      <c r="K215" s="55" t="str">
        <f>IF(OR($A215="",F215=""),"",ROUND(F215*Setup!J29,0))</f>
        <v/>
      </c>
      <c r="L215" s="55" t="str">
        <f>IF(OR($A215="",F215=""),"",ROUND(F215*Setup!K29,0))</f>
        <v/>
      </c>
      <c r="M215" s="55" t="str">
        <f>IF(OR($A215="",F215=""),"",ROUND(F215*Setup!L29,0))</f>
        <v/>
      </c>
      <c r="N215" s="53" t="str">
        <f t="shared" si="82"/>
        <v/>
      </c>
      <c r="O215" s="56" t="str">
        <f>IF(OR($A215="",N215=""),"",N215*Setup!$B$6/(1+Setup!$B$6))</f>
        <v/>
      </c>
      <c r="P215" s="53" t="str">
        <f t="shared" si="83"/>
        <v/>
      </c>
      <c r="Q215" s="57">
        <f>IF($A215="","",Setup!S29)</f>
        <v>96</v>
      </c>
      <c r="R215" s="57" t="str">
        <f t="shared" si="84"/>
        <v/>
      </c>
      <c r="S215" s="58" t="str">
        <f t="shared" si="85"/>
        <v/>
      </c>
    </row>
    <row r="216" spans="1:19" ht="15" customHeight="1" x14ac:dyDescent="0.2">
      <c r="A216" s="43" t="str">
        <f>IF(Setup!B30="","",Setup!B30)</f>
        <v>Tote</v>
      </c>
      <c r="B216" s="44" t="str">
        <f>IF($A216="","",Setup!C30)</f>
        <v>Accessory</v>
      </c>
      <c r="C216" s="45">
        <f>IF($A216="","",Setup!D30)</f>
        <v>100</v>
      </c>
      <c r="D216" s="46">
        <f>IF($A216="","",Setup!E30)</f>
        <v>7.0000000000000007E-2</v>
      </c>
      <c r="E216" s="45" t="str">
        <f t="shared" si="80"/>
        <v/>
      </c>
      <c r="F216" s="47" t="str">
        <f t="shared" si="81"/>
        <v/>
      </c>
      <c r="G216" s="47" t="str">
        <f>IF(OR($A216="",F216=""),"",ROUND(F216*Setup!F30,0))</f>
        <v/>
      </c>
      <c r="H216" s="47" t="str">
        <f>IF(OR($A216="",F216=""),"",ROUND(F216*Setup!G30,0))</f>
        <v/>
      </c>
      <c r="I216" s="47" t="str">
        <f>IF(OR($A216="",F216=""),"",ROUND(F216*Setup!H30,0))</f>
        <v/>
      </c>
      <c r="J216" s="47" t="str">
        <f>IF(OR($A216="",F216=""),"",ROUND(F216*Setup!I30,0))</f>
        <v/>
      </c>
      <c r="K216" s="47" t="str">
        <f>IF(OR($A216="",F216=""),"",ROUND(F216*Setup!J30,0))</f>
        <v/>
      </c>
      <c r="L216" s="47" t="str">
        <f>IF(OR($A216="",F216=""),"",ROUND(F216*Setup!K30,0))</f>
        <v/>
      </c>
      <c r="M216" s="47" t="str">
        <f>IF(OR($A216="",F216=""),"",ROUND(F216*Setup!L30,0))</f>
        <v/>
      </c>
      <c r="N216" s="45" t="str">
        <f t="shared" si="82"/>
        <v/>
      </c>
      <c r="O216" s="48" t="str">
        <f>IF(OR($A216="",N216=""),"",N216*Setup!$B$6/(1+Setup!$B$6))</f>
        <v/>
      </c>
      <c r="P216" s="45" t="str">
        <f t="shared" si="83"/>
        <v/>
      </c>
      <c r="Q216" s="49">
        <f>IF($A216="","",Setup!S30)</f>
        <v>50</v>
      </c>
      <c r="R216" s="49" t="str">
        <f t="shared" si="84"/>
        <v/>
      </c>
      <c r="S216" s="50" t="str">
        <f t="shared" si="85"/>
        <v/>
      </c>
    </row>
    <row r="217" spans="1:19" ht="15" customHeight="1" x14ac:dyDescent="0.2">
      <c r="A217" s="51" t="str">
        <f>IF(Setup!B31="","",Setup!B31)</f>
        <v/>
      </c>
      <c r="B217" s="52" t="str">
        <f>IF($A217="","",Setup!C31)</f>
        <v/>
      </c>
      <c r="C217" s="53" t="str">
        <f>IF($A217="","",Setup!D31)</f>
        <v/>
      </c>
      <c r="D217" s="54" t="str">
        <f>IF($A217="","",Setup!E31)</f>
        <v/>
      </c>
      <c r="E217" s="53" t="str">
        <f t="shared" si="80"/>
        <v/>
      </c>
      <c r="F217" s="55" t="str">
        <f t="shared" si="81"/>
        <v/>
      </c>
      <c r="G217" s="55" t="str">
        <f>IF(OR($A217="",F217=""),"",ROUND(F217*Setup!F31,0))</f>
        <v/>
      </c>
      <c r="H217" s="55" t="str">
        <f>IF(OR($A217="",F217=""),"",ROUND(F217*Setup!G31,0))</f>
        <v/>
      </c>
      <c r="I217" s="55" t="str">
        <f>IF(OR($A217="",F217=""),"",ROUND(F217*Setup!H31,0))</f>
        <v/>
      </c>
      <c r="J217" s="55" t="str">
        <f>IF(OR($A217="",F217=""),"",ROUND(F217*Setup!I31,0))</f>
        <v/>
      </c>
      <c r="K217" s="55" t="str">
        <f>IF(OR($A217="",F217=""),"",ROUND(F217*Setup!J31,0))</f>
        <v/>
      </c>
      <c r="L217" s="55" t="str">
        <f>IF(OR($A217="",F217=""),"",ROUND(F217*Setup!K31,0))</f>
        <v/>
      </c>
      <c r="M217" s="55" t="str">
        <f>IF(OR($A217="",F217=""),"",ROUND(F217*Setup!L31,0))</f>
        <v/>
      </c>
      <c r="N217" s="53" t="str">
        <f t="shared" si="82"/>
        <v/>
      </c>
      <c r="O217" s="56" t="str">
        <f>IF(OR($A217="",N217=""),"",N217*Setup!$B$6/(1+Setup!$B$6))</f>
        <v/>
      </c>
      <c r="P217" s="53" t="str">
        <f t="shared" si="83"/>
        <v/>
      </c>
      <c r="Q217" s="57" t="str">
        <f>IF($A217="","",Setup!S31)</f>
        <v/>
      </c>
      <c r="R217" s="57" t="str">
        <f t="shared" si="84"/>
        <v/>
      </c>
      <c r="S217" s="58" t="str">
        <f t="shared" si="85"/>
        <v/>
      </c>
    </row>
    <row r="218" spans="1:19" ht="15" customHeight="1" x14ac:dyDescent="0.2">
      <c r="A218" s="43" t="str">
        <f>IF(Setup!B32="","",Setup!B32)</f>
        <v/>
      </c>
      <c r="B218" s="44" t="str">
        <f>IF($A218="","",Setup!C32)</f>
        <v/>
      </c>
      <c r="C218" s="45" t="str">
        <f>IF($A218="","",Setup!D32)</f>
        <v/>
      </c>
      <c r="D218" s="46" t="str">
        <f>IF($A218="","",Setup!E32)</f>
        <v/>
      </c>
      <c r="E218" s="45" t="str">
        <f t="shared" si="80"/>
        <v/>
      </c>
      <c r="F218" s="47" t="str">
        <f t="shared" si="81"/>
        <v/>
      </c>
      <c r="G218" s="47" t="str">
        <f>IF(OR($A218="",F218=""),"",ROUND(F218*Setup!F32,0))</f>
        <v/>
      </c>
      <c r="H218" s="47" t="str">
        <f>IF(OR($A218="",F218=""),"",ROUND(F218*Setup!G32,0))</f>
        <v/>
      </c>
      <c r="I218" s="47" t="str">
        <f>IF(OR($A218="",F218=""),"",ROUND(F218*Setup!H32,0))</f>
        <v/>
      </c>
      <c r="J218" s="47" t="str">
        <f>IF(OR($A218="",F218=""),"",ROUND(F218*Setup!I32,0))</f>
        <v/>
      </c>
      <c r="K218" s="47" t="str">
        <f>IF(OR($A218="",F218=""),"",ROUND(F218*Setup!J32,0))</f>
        <v/>
      </c>
      <c r="L218" s="47" t="str">
        <f>IF(OR($A218="",F218=""),"",ROUND(F218*Setup!K32,0))</f>
        <v/>
      </c>
      <c r="M218" s="47" t="str">
        <f>IF(OR($A218="",F218=""),"",ROUND(F218*Setup!L32,0))</f>
        <v/>
      </c>
      <c r="N218" s="45" t="str">
        <f t="shared" si="82"/>
        <v/>
      </c>
      <c r="O218" s="48" t="str">
        <f>IF(OR($A218="",N218=""),"",N218*Setup!$B$6/(1+Setup!$B$6))</f>
        <v/>
      </c>
      <c r="P218" s="45" t="str">
        <f t="shared" si="83"/>
        <v/>
      </c>
      <c r="Q218" s="49" t="str">
        <f>IF($A218="","",Setup!S32)</f>
        <v/>
      </c>
      <c r="R218" s="49" t="str">
        <f t="shared" si="84"/>
        <v/>
      </c>
      <c r="S218" s="50" t="str">
        <f t="shared" si="85"/>
        <v/>
      </c>
    </row>
    <row r="219" spans="1:19" ht="15" customHeight="1" x14ac:dyDescent="0.2">
      <c r="A219" s="51" t="str">
        <f>IF(Setup!B33="","",Setup!B33)</f>
        <v/>
      </c>
      <c r="B219" s="52" t="str">
        <f>IF($A219="","",Setup!C33)</f>
        <v/>
      </c>
      <c r="C219" s="53" t="str">
        <f>IF($A219="","",Setup!D33)</f>
        <v/>
      </c>
      <c r="D219" s="54" t="str">
        <f>IF($A219="","",Setup!E33)</f>
        <v/>
      </c>
      <c r="E219" s="53" t="str">
        <f t="shared" si="80"/>
        <v/>
      </c>
      <c r="F219" s="55" t="str">
        <f t="shared" si="81"/>
        <v/>
      </c>
      <c r="G219" s="55" t="str">
        <f>IF(OR($A219="",F219=""),"",ROUND(F219*Setup!F33,0))</f>
        <v/>
      </c>
      <c r="H219" s="55" t="str">
        <f>IF(OR($A219="",F219=""),"",ROUND(F219*Setup!G33,0))</f>
        <v/>
      </c>
      <c r="I219" s="55" t="str">
        <f>IF(OR($A219="",F219=""),"",ROUND(F219*Setup!H33,0))</f>
        <v/>
      </c>
      <c r="J219" s="55" t="str">
        <f>IF(OR($A219="",F219=""),"",ROUND(F219*Setup!I33,0))</f>
        <v/>
      </c>
      <c r="K219" s="55" t="str">
        <f>IF(OR($A219="",F219=""),"",ROUND(F219*Setup!J33,0))</f>
        <v/>
      </c>
      <c r="L219" s="55" t="str">
        <f>IF(OR($A219="",F219=""),"",ROUND(F219*Setup!K33,0))</f>
        <v/>
      </c>
      <c r="M219" s="55" t="str">
        <f>IF(OR($A219="",F219=""),"",ROUND(F219*Setup!L33,0))</f>
        <v/>
      </c>
      <c r="N219" s="53" t="str">
        <f t="shared" si="82"/>
        <v/>
      </c>
      <c r="O219" s="56" t="str">
        <f>IF(OR($A219="",N219=""),"",N219*Setup!$B$6/(1+Setup!$B$6))</f>
        <v/>
      </c>
      <c r="P219" s="53" t="str">
        <f t="shared" si="83"/>
        <v/>
      </c>
      <c r="Q219" s="57" t="str">
        <f>IF($A219="","",Setup!S33)</f>
        <v/>
      </c>
      <c r="R219" s="57" t="str">
        <f t="shared" si="84"/>
        <v/>
      </c>
      <c r="S219" s="58" t="str">
        <f t="shared" si="85"/>
        <v/>
      </c>
    </row>
    <row r="220" spans="1:19" ht="15" customHeight="1" x14ac:dyDescent="0.2">
      <c r="A220" s="43" t="str">
        <f>IF(Setup!B34="","",Setup!B34)</f>
        <v/>
      </c>
      <c r="B220" s="44" t="str">
        <f>IF($A220="","",Setup!C34)</f>
        <v/>
      </c>
      <c r="C220" s="45" t="str">
        <f>IF($A220="","",Setup!D34)</f>
        <v/>
      </c>
      <c r="D220" s="46" t="str">
        <f>IF($A220="","",Setup!E34)</f>
        <v/>
      </c>
      <c r="E220" s="45" t="str">
        <f t="shared" si="80"/>
        <v/>
      </c>
      <c r="F220" s="47" t="str">
        <f t="shared" si="81"/>
        <v/>
      </c>
      <c r="G220" s="47" t="str">
        <f>IF(OR($A220="",F220=""),"",ROUND(F220*Setup!F34,0))</f>
        <v/>
      </c>
      <c r="H220" s="47" t="str">
        <f>IF(OR($A220="",F220=""),"",ROUND(F220*Setup!G34,0))</f>
        <v/>
      </c>
      <c r="I220" s="47" t="str">
        <f>IF(OR($A220="",F220=""),"",ROUND(F220*Setup!H34,0))</f>
        <v/>
      </c>
      <c r="J220" s="47" t="str">
        <f>IF(OR($A220="",F220=""),"",ROUND(F220*Setup!I34,0))</f>
        <v/>
      </c>
      <c r="K220" s="47" t="str">
        <f>IF(OR($A220="",F220=""),"",ROUND(F220*Setup!J34,0))</f>
        <v/>
      </c>
      <c r="L220" s="47" t="str">
        <f>IF(OR($A220="",F220=""),"",ROUND(F220*Setup!K34,0))</f>
        <v/>
      </c>
      <c r="M220" s="47" t="str">
        <f>IF(OR($A220="",F220=""),"",ROUND(F220*Setup!L34,0))</f>
        <v/>
      </c>
      <c r="N220" s="45" t="str">
        <f t="shared" si="82"/>
        <v/>
      </c>
      <c r="O220" s="48" t="str">
        <f>IF(OR($A220="",N220=""),"",N220*Setup!$B$6/(1+Setup!$B$6))</f>
        <v/>
      </c>
      <c r="P220" s="45" t="str">
        <f t="shared" si="83"/>
        <v/>
      </c>
      <c r="Q220" s="49" t="str">
        <f>IF($A220="","",Setup!S34)</f>
        <v/>
      </c>
      <c r="R220" s="49" t="str">
        <f t="shared" si="84"/>
        <v/>
      </c>
      <c r="S220" s="50" t="str">
        <f t="shared" si="85"/>
        <v/>
      </c>
    </row>
    <row r="221" spans="1:19" ht="15" customHeight="1" x14ac:dyDescent="0.2">
      <c r="A221" s="51" t="str">
        <f>IF(Setup!B35="","",Setup!B35)</f>
        <v/>
      </c>
      <c r="B221" s="52" t="str">
        <f>IF($A221="","",Setup!C35)</f>
        <v/>
      </c>
      <c r="C221" s="53" t="str">
        <f>IF($A221="","",Setup!D35)</f>
        <v/>
      </c>
      <c r="D221" s="54" t="str">
        <f>IF($A221="","",Setup!E35)</f>
        <v/>
      </c>
      <c r="E221" s="53" t="str">
        <f t="shared" si="80"/>
        <v/>
      </c>
      <c r="F221" s="55" t="str">
        <f t="shared" si="81"/>
        <v/>
      </c>
      <c r="G221" s="55" t="str">
        <f>IF(OR($A221="",F221=""),"",ROUND(F221*Setup!F35,0))</f>
        <v/>
      </c>
      <c r="H221" s="55" t="str">
        <f>IF(OR($A221="",F221=""),"",ROUND(F221*Setup!G35,0))</f>
        <v/>
      </c>
      <c r="I221" s="55" t="str">
        <f>IF(OR($A221="",F221=""),"",ROUND(F221*Setup!H35,0))</f>
        <v/>
      </c>
      <c r="J221" s="55" t="str">
        <f>IF(OR($A221="",F221=""),"",ROUND(F221*Setup!I35,0))</f>
        <v/>
      </c>
      <c r="K221" s="55" t="str">
        <f>IF(OR($A221="",F221=""),"",ROUND(F221*Setup!J35,0))</f>
        <v/>
      </c>
      <c r="L221" s="55" t="str">
        <f>IF(OR($A221="",F221=""),"",ROUND(F221*Setup!K35,0))</f>
        <v/>
      </c>
      <c r="M221" s="55" t="str">
        <f>IF(OR($A221="",F221=""),"",ROUND(F221*Setup!L35,0))</f>
        <v/>
      </c>
      <c r="N221" s="53" t="str">
        <f t="shared" si="82"/>
        <v/>
      </c>
      <c r="O221" s="56" t="str">
        <f>IF(OR($A221="",N221=""),"",N221*Setup!$B$6/(1+Setup!$B$6))</f>
        <v/>
      </c>
      <c r="P221" s="53" t="str">
        <f t="shared" si="83"/>
        <v/>
      </c>
      <c r="Q221" s="57" t="str">
        <f>IF($A221="","",Setup!S35)</f>
        <v/>
      </c>
      <c r="R221" s="57" t="str">
        <f t="shared" si="84"/>
        <v/>
      </c>
      <c r="S221" s="58" t="str">
        <f t="shared" si="85"/>
        <v/>
      </c>
    </row>
    <row r="222" spans="1:19" ht="15" customHeight="1" x14ac:dyDescent="0.2">
      <c r="A222" s="43" t="str">
        <f>IF(Setup!B36="","",Setup!B36)</f>
        <v/>
      </c>
      <c r="B222" s="44" t="str">
        <f>IF($A222="","",Setup!C36)</f>
        <v/>
      </c>
      <c r="C222" s="45" t="str">
        <f>IF($A222="","",Setup!D36)</f>
        <v/>
      </c>
      <c r="D222" s="46" t="str">
        <f>IF($A222="","",Setup!E36)</f>
        <v/>
      </c>
      <c r="E222" s="45" t="str">
        <f t="shared" si="80"/>
        <v/>
      </c>
      <c r="F222" s="47" t="str">
        <f t="shared" si="81"/>
        <v/>
      </c>
      <c r="G222" s="47" t="str">
        <f>IF(OR($A222="",F222=""),"",ROUND(F222*Setup!F36,0))</f>
        <v/>
      </c>
      <c r="H222" s="47" t="str">
        <f>IF(OR($A222="",F222=""),"",ROUND(F222*Setup!G36,0))</f>
        <v/>
      </c>
      <c r="I222" s="47" t="str">
        <f>IF(OR($A222="",F222=""),"",ROUND(F222*Setup!H36,0))</f>
        <v/>
      </c>
      <c r="J222" s="47" t="str">
        <f>IF(OR($A222="",F222=""),"",ROUND(F222*Setup!I36,0))</f>
        <v/>
      </c>
      <c r="K222" s="47" t="str">
        <f>IF(OR($A222="",F222=""),"",ROUND(F222*Setup!J36,0))</f>
        <v/>
      </c>
      <c r="L222" s="47" t="str">
        <f>IF(OR($A222="",F222=""),"",ROUND(F222*Setup!K36,0))</f>
        <v/>
      </c>
      <c r="M222" s="47" t="str">
        <f>IF(OR($A222="",F222=""),"",ROUND(F222*Setup!L36,0))</f>
        <v/>
      </c>
      <c r="N222" s="45" t="str">
        <f t="shared" si="82"/>
        <v/>
      </c>
      <c r="O222" s="48" t="str">
        <f>IF(OR($A222="",N222=""),"",N222*Setup!$B$6/(1+Setup!$B$6))</f>
        <v/>
      </c>
      <c r="P222" s="45" t="str">
        <f t="shared" si="83"/>
        <v/>
      </c>
      <c r="Q222" s="49" t="str">
        <f>IF($A222="","",Setup!S36)</f>
        <v/>
      </c>
      <c r="R222" s="49" t="str">
        <f t="shared" si="84"/>
        <v/>
      </c>
      <c r="S222" s="50" t="str">
        <f t="shared" si="85"/>
        <v/>
      </c>
    </row>
    <row r="223" spans="1:19" ht="15" customHeight="1" x14ac:dyDescent="0.2">
      <c r="A223" s="51" t="str">
        <f>IF(Setup!B37="","",Setup!B37)</f>
        <v/>
      </c>
      <c r="B223" s="52" t="str">
        <f>IF($A223="","",Setup!C37)</f>
        <v/>
      </c>
      <c r="C223" s="53" t="str">
        <f>IF($A223="","",Setup!D37)</f>
        <v/>
      </c>
      <c r="D223" s="54" t="str">
        <f>IF($A223="","",Setup!E37)</f>
        <v/>
      </c>
      <c r="E223" s="53" t="str">
        <f t="shared" si="80"/>
        <v/>
      </c>
      <c r="F223" s="55" t="str">
        <f t="shared" si="81"/>
        <v/>
      </c>
      <c r="G223" s="55" t="str">
        <f>IF(OR($A223="",F223=""),"",ROUND(F223*Setup!F37,0))</f>
        <v/>
      </c>
      <c r="H223" s="55" t="str">
        <f>IF(OR($A223="",F223=""),"",ROUND(F223*Setup!G37,0))</f>
        <v/>
      </c>
      <c r="I223" s="55" t="str">
        <f>IF(OR($A223="",F223=""),"",ROUND(F223*Setup!H37,0))</f>
        <v/>
      </c>
      <c r="J223" s="55" t="str">
        <f>IF(OR($A223="",F223=""),"",ROUND(F223*Setup!I37,0))</f>
        <v/>
      </c>
      <c r="K223" s="55" t="str">
        <f>IF(OR($A223="",F223=""),"",ROUND(F223*Setup!J37,0))</f>
        <v/>
      </c>
      <c r="L223" s="55" t="str">
        <f>IF(OR($A223="",F223=""),"",ROUND(F223*Setup!K37,0))</f>
        <v/>
      </c>
      <c r="M223" s="55" t="str">
        <f>IF(OR($A223="",F223=""),"",ROUND(F223*Setup!L37,0))</f>
        <v/>
      </c>
      <c r="N223" s="53" t="str">
        <f t="shared" si="82"/>
        <v/>
      </c>
      <c r="O223" s="56" t="str">
        <f>IF(OR($A223="",N223=""),"",N223*Setup!$B$6/(1+Setup!$B$6))</f>
        <v/>
      </c>
      <c r="P223" s="53" t="str">
        <f t="shared" si="83"/>
        <v/>
      </c>
      <c r="Q223" s="57" t="str">
        <f>IF($A223="","",Setup!S37)</f>
        <v/>
      </c>
      <c r="R223" s="57" t="str">
        <f t="shared" si="84"/>
        <v/>
      </c>
      <c r="S223" s="58" t="str">
        <f t="shared" si="85"/>
        <v/>
      </c>
    </row>
    <row r="224" spans="1:19" ht="15" customHeight="1" x14ac:dyDescent="0.2">
      <c r="A224" s="43" t="str">
        <f>IF(Setup!B38="","",Setup!B38)</f>
        <v/>
      </c>
      <c r="B224" s="44" t="str">
        <f>IF($A224="","",Setup!C38)</f>
        <v/>
      </c>
      <c r="C224" s="45" t="str">
        <f>IF($A224="","",Setup!D38)</f>
        <v/>
      </c>
      <c r="D224" s="46" t="str">
        <f>IF($A224="","",Setup!E38)</f>
        <v/>
      </c>
      <c r="E224" s="45" t="str">
        <f t="shared" si="80"/>
        <v/>
      </c>
      <c r="F224" s="47" t="str">
        <f t="shared" si="81"/>
        <v/>
      </c>
      <c r="G224" s="47" t="str">
        <f>IF(OR($A224="",F224=""),"",ROUND(F224*Setup!F38,0))</f>
        <v/>
      </c>
      <c r="H224" s="47" t="str">
        <f>IF(OR($A224="",F224=""),"",ROUND(F224*Setup!G38,0))</f>
        <v/>
      </c>
      <c r="I224" s="47" t="str">
        <f>IF(OR($A224="",F224=""),"",ROUND(F224*Setup!H38,0))</f>
        <v/>
      </c>
      <c r="J224" s="47" t="str">
        <f>IF(OR($A224="",F224=""),"",ROUND(F224*Setup!I38,0))</f>
        <v/>
      </c>
      <c r="K224" s="47" t="str">
        <f>IF(OR($A224="",F224=""),"",ROUND(F224*Setup!J38,0))</f>
        <v/>
      </c>
      <c r="L224" s="47" t="str">
        <f>IF(OR($A224="",F224=""),"",ROUND(F224*Setup!K38,0))</f>
        <v/>
      </c>
      <c r="M224" s="47" t="str">
        <f>IF(OR($A224="",F224=""),"",ROUND(F224*Setup!L38,0))</f>
        <v/>
      </c>
      <c r="N224" s="45" t="str">
        <f t="shared" si="82"/>
        <v/>
      </c>
      <c r="O224" s="48" t="str">
        <f>IF(OR($A224="",N224=""),"",N224*Setup!$B$6/(1+Setup!$B$6))</f>
        <v/>
      </c>
      <c r="P224" s="45" t="str">
        <f t="shared" si="83"/>
        <v/>
      </c>
      <c r="Q224" s="49" t="str">
        <f>IF($A224="","",Setup!S38)</f>
        <v/>
      </c>
      <c r="R224" s="49" t="str">
        <f t="shared" si="84"/>
        <v/>
      </c>
      <c r="S224" s="50" t="str">
        <f t="shared" si="85"/>
        <v/>
      </c>
    </row>
    <row r="225" spans="1:19" ht="15" customHeight="1" x14ac:dyDescent="0.2">
      <c r="A225" s="51" t="str">
        <f>IF(Setup!B39="","",Setup!B39)</f>
        <v/>
      </c>
      <c r="B225" s="52" t="str">
        <f>IF($A225="","",Setup!C39)</f>
        <v/>
      </c>
      <c r="C225" s="53" t="str">
        <f>IF($A225="","",Setup!D39)</f>
        <v/>
      </c>
      <c r="D225" s="54" t="str">
        <f>IF($A225="","",Setup!E39)</f>
        <v/>
      </c>
      <c r="E225" s="53" t="str">
        <f t="shared" si="80"/>
        <v/>
      </c>
      <c r="F225" s="55" t="str">
        <f t="shared" si="81"/>
        <v/>
      </c>
      <c r="G225" s="55" t="str">
        <f>IF(OR($A225="",F225=""),"",ROUND(F225*Setup!F39,0))</f>
        <v/>
      </c>
      <c r="H225" s="55" t="str">
        <f>IF(OR($A225="",F225=""),"",ROUND(F225*Setup!G39,0))</f>
        <v/>
      </c>
      <c r="I225" s="55" t="str">
        <f>IF(OR($A225="",F225=""),"",ROUND(F225*Setup!H39,0))</f>
        <v/>
      </c>
      <c r="J225" s="55" t="str">
        <f>IF(OR($A225="",F225=""),"",ROUND(F225*Setup!I39,0))</f>
        <v/>
      </c>
      <c r="K225" s="55" t="str">
        <f>IF(OR($A225="",F225=""),"",ROUND(F225*Setup!J39,0))</f>
        <v/>
      </c>
      <c r="L225" s="55" t="str">
        <f>IF(OR($A225="",F225=""),"",ROUND(F225*Setup!K39,0))</f>
        <v/>
      </c>
      <c r="M225" s="55" t="str">
        <f>IF(OR($A225="",F225=""),"",ROUND(F225*Setup!L39,0))</f>
        <v/>
      </c>
      <c r="N225" s="53" t="str">
        <f t="shared" si="82"/>
        <v/>
      </c>
      <c r="O225" s="56" t="str">
        <f>IF(OR($A225="",N225=""),"",N225*Setup!$B$6/(1+Setup!$B$6))</f>
        <v/>
      </c>
      <c r="P225" s="53" t="str">
        <f t="shared" si="83"/>
        <v/>
      </c>
      <c r="Q225" s="57" t="str">
        <f>IF($A225="","",Setup!S39)</f>
        <v/>
      </c>
      <c r="R225" s="57" t="str">
        <f t="shared" si="84"/>
        <v/>
      </c>
      <c r="S225" s="58" t="str">
        <f t="shared" si="85"/>
        <v/>
      </c>
    </row>
    <row r="226" spans="1:19" ht="15" customHeight="1" x14ac:dyDescent="0.2">
      <c r="A226" s="43" t="str">
        <f>IF(Setup!B40="","",Setup!B40)</f>
        <v/>
      </c>
      <c r="B226" s="44" t="str">
        <f>IF($A226="","",Setup!C40)</f>
        <v/>
      </c>
      <c r="C226" s="45" t="str">
        <f>IF($A226="","",Setup!D40)</f>
        <v/>
      </c>
      <c r="D226" s="46" t="str">
        <f>IF($A226="","",Setup!E40)</f>
        <v/>
      </c>
      <c r="E226" s="45" t="str">
        <f t="shared" si="80"/>
        <v/>
      </c>
      <c r="F226" s="47" t="str">
        <f t="shared" si="81"/>
        <v/>
      </c>
      <c r="G226" s="47" t="str">
        <f>IF(OR($A226="",F226=""),"",ROUND(F226*Setup!F40,0))</f>
        <v/>
      </c>
      <c r="H226" s="47" t="str">
        <f>IF(OR($A226="",F226=""),"",ROUND(F226*Setup!G40,0))</f>
        <v/>
      </c>
      <c r="I226" s="47" t="str">
        <f>IF(OR($A226="",F226=""),"",ROUND(F226*Setup!H40,0))</f>
        <v/>
      </c>
      <c r="J226" s="47" t="str">
        <f>IF(OR($A226="",F226=""),"",ROUND(F226*Setup!I40,0))</f>
        <v/>
      </c>
      <c r="K226" s="47" t="str">
        <f>IF(OR($A226="",F226=""),"",ROUND(F226*Setup!J40,0))</f>
        <v/>
      </c>
      <c r="L226" s="47" t="str">
        <f>IF(OR($A226="",F226=""),"",ROUND(F226*Setup!K40,0))</f>
        <v/>
      </c>
      <c r="M226" s="47" t="str">
        <f>IF(OR($A226="",F226=""),"",ROUND(F226*Setup!L40,0))</f>
        <v/>
      </c>
      <c r="N226" s="45" t="str">
        <f t="shared" si="82"/>
        <v/>
      </c>
      <c r="O226" s="48" t="str">
        <f>IF(OR($A226="",N226=""),"",N226*Setup!$B$6/(1+Setup!$B$6))</f>
        <v/>
      </c>
      <c r="P226" s="45" t="str">
        <f t="shared" si="83"/>
        <v/>
      </c>
      <c r="Q226" s="49" t="str">
        <f>IF($A226="","",Setup!S40)</f>
        <v/>
      </c>
      <c r="R226" s="49" t="str">
        <f t="shared" si="84"/>
        <v/>
      </c>
      <c r="S226" s="50" t="str">
        <f t="shared" si="85"/>
        <v/>
      </c>
    </row>
    <row r="227" spans="1:19" ht="15" customHeight="1" x14ac:dyDescent="0.2">
      <c r="A227" s="59" t="s">
        <v>100</v>
      </c>
      <c r="B227" s="26"/>
      <c r="C227" s="26"/>
      <c r="D227" s="26"/>
      <c r="E227" s="26">
        <f t="shared" ref="E227:P227" si="86">SUM(E212:E226)</f>
        <v>0</v>
      </c>
      <c r="F227" s="25">
        <f t="shared" si="86"/>
        <v>0</v>
      </c>
      <c r="G227" s="25">
        <f t="shared" si="86"/>
        <v>0</v>
      </c>
      <c r="H227" s="25">
        <f t="shared" si="86"/>
        <v>0</v>
      </c>
      <c r="I227" s="25">
        <f t="shared" si="86"/>
        <v>0</v>
      </c>
      <c r="J227" s="25">
        <f t="shared" si="86"/>
        <v>0</v>
      </c>
      <c r="K227" s="25">
        <f t="shared" si="86"/>
        <v>0</v>
      </c>
      <c r="L227" s="25">
        <f t="shared" si="86"/>
        <v>0</v>
      </c>
      <c r="M227" s="25">
        <f t="shared" si="86"/>
        <v>0</v>
      </c>
      <c r="N227" s="26">
        <f t="shared" si="86"/>
        <v>0</v>
      </c>
      <c r="O227" s="26">
        <f t="shared" si="86"/>
        <v>0</v>
      </c>
      <c r="P227" s="26">
        <f t="shared" si="86"/>
        <v>0</v>
      </c>
      <c r="Q227" s="26"/>
      <c r="R227" s="26">
        <f>SUM(R212:R226)</f>
        <v>0</v>
      </c>
      <c r="S227" s="26">
        <f>SUM(S212:S226)</f>
        <v>0</v>
      </c>
    </row>
  </sheetData>
  <mergeCells count="31">
    <mergeCell ref="A1:S1"/>
    <mergeCell ref="Q104:S104"/>
    <mergeCell ref="N83:P83"/>
    <mergeCell ref="A146:M146"/>
    <mergeCell ref="N20:P20"/>
    <mergeCell ref="A41:M41"/>
    <mergeCell ref="Q125:S125"/>
    <mergeCell ref="N104:P104"/>
    <mergeCell ref="N41:P41"/>
    <mergeCell ref="Q146:S146"/>
    <mergeCell ref="Q62:S62"/>
    <mergeCell ref="A104:M104"/>
    <mergeCell ref="Q83:S83"/>
    <mergeCell ref="Q20:S20"/>
    <mergeCell ref="A20:M20"/>
    <mergeCell ref="A125:M125"/>
    <mergeCell ref="Q41:S41"/>
    <mergeCell ref="N125:P125"/>
    <mergeCell ref="N188:P188"/>
    <mergeCell ref="Q209:S209"/>
    <mergeCell ref="A188:M188"/>
    <mergeCell ref="N62:P62"/>
    <mergeCell ref="N167:P167"/>
    <mergeCell ref="A62:M62"/>
    <mergeCell ref="A209:M209"/>
    <mergeCell ref="N209:P209"/>
    <mergeCell ref="Q167:S167"/>
    <mergeCell ref="Q188:S188"/>
    <mergeCell ref="A167:M167"/>
    <mergeCell ref="N146:P146"/>
    <mergeCell ref="A83:M8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E3D3E"/>
  </sheetPr>
  <dimension ref="A1:M44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7" sqref="E17"/>
    </sheetView>
  </sheetViews>
  <sheetFormatPr baseColWidth="10" defaultColWidth="8.6640625" defaultRowHeight="15" customHeight="1" x14ac:dyDescent="0.2"/>
  <cols>
    <col min="1" max="1" width="34" customWidth="1"/>
    <col min="2" max="13" width="14" customWidth="1"/>
  </cols>
  <sheetData>
    <row r="1" spans="1:13" ht="45" customHeight="1" x14ac:dyDescent="0.2">
      <c r="A1" s="104" t="str">
        <f>Setup!B3&amp;" - "&amp;Setup!B4&amp;" | P&amp;L SUMMARY"</f>
        <v>UB40 feat. Ali Campbell - UB40 SA Tour 2026 | P&amp;L SUMMARY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3" ht="15" customHeight="1" x14ac:dyDescent="0.2">
      <c r="A2" s="99" t="str">
        <f>"Exchange Rate: "&amp;TEXT(Setup!H6,"#,##0.00")&amp;" "&amp;Setup!B5&amp;" per 1 "&amp;Setup!H5</f>
        <v>Exchange Rate: 23,0.00 R per 1 GBP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</row>
    <row r="3" spans="1:13" ht="25.5" customHeight="1" x14ac:dyDescent="0.2">
      <c r="A3" s="65" t="s">
        <v>101</v>
      </c>
      <c r="B3" s="28" t="str">
        <f>IF(Setup!C9="","Event 1",Setup!C9)</f>
        <v>Cape Town</v>
      </c>
      <c r="C3" s="28" t="str">
        <f>IF(Setup!C10="","Event 2",Setup!C10)</f>
        <v>Durban</v>
      </c>
      <c r="D3" s="28" t="str">
        <f>IF(Setup!C11="","Event 3",Setup!C11)</f>
        <v>Pretoria</v>
      </c>
      <c r="E3" s="28" t="str">
        <f>IF(Setup!C12="","Event 4",Setup!C12)</f>
        <v>Pretoria</v>
      </c>
      <c r="F3" s="28" t="str">
        <f>IF(Setup!C13="","Event 5",Setup!C13)</f>
        <v>Event 5</v>
      </c>
      <c r="G3" s="28" t="str">
        <f>IF(Setup!C14="","Event 6",Setup!C14)</f>
        <v>Event 6</v>
      </c>
      <c r="H3" s="28" t="str">
        <f>IF(Setup!C15="","Event 7",Setup!C15)</f>
        <v>Event 7</v>
      </c>
      <c r="I3" s="28" t="str">
        <f>IF(Setup!C16="","Event 8",Setup!C16)</f>
        <v>Event 8</v>
      </c>
      <c r="J3" s="28" t="str">
        <f>IF(Setup!C18="","Event 9",Setup!C18)</f>
        <v>Event 9</v>
      </c>
      <c r="K3" s="28" t="str">
        <f>IF(Setup!C19="","Event 10",Setup!C19)</f>
        <v>Event 10</v>
      </c>
      <c r="L3" s="66" t="s">
        <v>102</v>
      </c>
      <c r="M3" s="82" t="str">
        <f>Setup!H5&amp;"
TOTAL"</f>
        <v>GBP
TOTAL</v>
      </c>
    </row>
    <row r="4" spans="1:13" ht="15" customHeight="1" x14ac:dyDescent="0.2">
      <c r="A4" s="67" t="s">
        <v>103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</row>
    <row r="5" spans="1:13" ht="15" customHeight="1" x14ac:dyDescent="0.2">
      <c r="A5" s="69" t="s">
        <v>104</v>
      </c>
      <c r="B5" s="70">
        <f>'Sales per event'!N38</f>
        <v>158250</v>
      </c>
      <c r="C5" s="70">
        <f>'Sales per event'!N59</f>
        <v>157250</v>
      </c>
      <c r="D5" s="70">
        <f>'Sales per event'!N80</f>
        <v>381650</v>
      </c>
      <c r="E5" s="70">
        <f>'Sales per event'!N101</f>
        <v>192700</v>
      </c>
      <c r="F5" s="70">
        <f>'Sales per event'!N122</f>
        <v>0</v>
      </c>
      <c r="G5" s="70">
        <f>'Sales per event'!N143</f>
        <v>0</v>
      </c>
      <c r="H5" s="70">
        <f>'Sales per event'!N164</f>
        <v>0</v>
      </c>
      <c r="I5" s="70">
        <f>'Sales per event'!N185</f>
        <v>0</v>
      </c>
      <c r="J5" s="70">
        <f>'Sales per event'!N206</f>
        <v>0</v>
      </c>
      <c r="K5" s="70">
        <f>'Sales per event'!N227</f>
        <v>0</v>
      </c>
      <c r="L5" s="87">
        <f>SUM(B5,C5,D5,E5,F5,G5,H5,I5,J5,K5)</f>
        <v>889850</v>
      </c>
      <c r="M5" s="83">
        <f>IFERROR(L5/Setup!$H$6,0)</f>
        <v>38689.130434782608</v>
      </c>
    </row>
    <row r="6" spans="1:13" ht="15" customHeight="1" x14ac:dyDescent="0.2">
      <c r="A6" s="71" t="s">
        <v>105</v>
      </c>
      <c r="B6" s="72">
        <f>'Sales per event'!O38</f>
        <v>20641.304347826084</v>
      </c>
      <c r="C6" s="72">
        <f>'Sales per event'!O59</f>
        <v>20510.869565217396</v>
      </c>
      <c r="D6" s="72">
        <f>'Sales per event'!O80</f>
        <v>49780.434782608703</v>
      </c>
      <c r="E6" s="72">
        <f>'Sales per event'!O101</f>
        <v>25134.782608695656</v>
      </c>
      <c r="F6" s="72">
        <f>'Sales per event'!O122</f>
        <v>0</v>
      </c>
      <c r="G6" s="72">
        <f>'Sales per event'!O143</f>
        <v>0</v>
      </c>
      <c r="H6" s="72">
        <f>'Sales per event'!O164</f>
        <v>0</v>
      </c>
      <c r="I6" s="72">
        <f>'Sales per event'!O185</f>
        <v>0</v>
      </c>
      <c r="J6" s="72">
        <f>'Sales per event'!O206</f>
        <v>0</v>
      </c>
      <c r="K6" s="72">
        <f>'Sales per event'!O227</f>
        <v>0</v>
      </c>
      <c r="L6" s="87">
        <f>SUM(B6,C6,D6,E6,F6,G6,H6,I6,J6,K6)</f>
        <v>116067.39130434784</v>
      </c>
      <c r="M6" s="83">
        <f>IFERROR(L6/Setup!$H$6,0)</f>
        <v>5046.4083175803407</v>
      </c>
    </row>
    <row r="7" spans="1:13" ht="15" customHeight="1" x14ac:dyDescent="0.2">
      <c r="A7" s="73" t="s">
        <v>106</v>
      </c>
      <c r="B7" s="74">
        <f t="shared" ref="B7:K7" si="0">B5-B6</f>
        <v>137608.69565217392</v>
      </c>
      <c r="C7" s="74">
        <f t="shared" si="0"/>
        <v>136739.13043478259</v>
      </c>
      <c r="D7" s="74">
        <f t="shared" si="0"/>
        <v>331869.5652173913</v>
      </c>
      <c r="E7" s="74">
        <f t="shared" si="0"/>
        <v>167565.21739130435</v>
      </c>
      <c r="F7" s="74">
        <f t="shared" si="0"/>
        <v>0</v>
      </c>
      <c r="G7" s="74">
        <f t="shared" si="0"/>
        <v>0</v>
      </c>
      <c r="H7" s="74">
        <f t="shared" si="0"/>
        <v>0</v>
      </c>
      <c r="I7" s="74">
        <f t="shared" si="0"/>
        <v>0</v>
      </c>
      <c r="J7" s="74">
        <f t="shared" si="0"/>
        <v>0</v>
      </c>
      <c r="K7" s="74">
        <f t="shared" si="0"/>
        <v>0</v>
      </c>
      <c r="L7" s="88">
        <f>SUM(B7,C7,D7,E7,F7,G7,H7,I7,J7,K7)</f>
        <v>773782.60869565222</v>
      </c>
      <c r="M7" s="84">
        <f>IFERROR(L7/Setup!$H$6,0)</f>
        <v>33642.722117202269</v>
      </c>
    </row>
    <row r="8" spans="1:13" ht="15" customHeight="1" x14ac:dyDescent="0.2">
      <c r="L8" s="89"/>
    </row>
    <row r="9" spans="1:13" ht="15" customHeight="1" x14ac:dyDescent="0.2">
      <c r="A9" s="67" t="s">
        <v>107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90"/>
      <c r="M9" s="68"/>
    </row>
    <row r="10" spans="1:13" ht="15" customHeight="1" x14ac:dyDescent="0.2">
      <c r="A10" s="75" t="s">
        <v>108</v>
      </c>
      <c r="B10" s="49">
        <f>'Sales per event'!R38</f>
        <v>49482</v>
      </c>
      <c r="C10" s="49">
        <f>'Sales per event'!R59</f>
        <v>49167</v>
      </c>
      <c r="D10" s="49">
        <f>'Sales per event'!R80</f>
        <v>119321</v>
      </c>
      <c r="E10" s="49">
        <f>'Sales per event'!R101</f>
        <v>60247</v>
      </c>
      <c r="F10" s="49">
        <f>'Sales per event'!R122</f>
        <v>0</v>
      </c>
      <c r="G10" s="49">
        <f>'Sales per event'!R143</f>
        <v>0</v>
      </c>
      <c r="H10" s="49">
        <f>'Sales per event'!R164</f>
        <v>0</v>
      </c>
      <c r="I10" s="49">
        <f>'Sales per event'!R185</f>
        <v>0</v>
      </c>
      <c r="J10" s="49">
        <f>'Sales per event'!R206</f>
        <v>0</v>
      </c>
      <c r="K10" s="49">
        <f>'Sales per event'!R227</f>
        <v>0</v>
      </c>
      <c r="L10" s="88">
        <f>SUM(B10,C10,D10,E10,F10,G10,H10,I10,J10,K10)</f>
        <v>278217</v>
      </c>
      <c r="M10" s="84">
        <f>IFERROR(L10/Setup!$H$6,0)</f>
        <v>12096.391304347826</v>
      </c>
    </row>
    <row r="11" spans="1:13" ht="15" customHeight="1" x14ac:dyDescent="0.2">
      <c r="A11" s="69" t="s">
        <v>109</v>
      </c>
      <c r="B11" s="76">
        <f t="shared" ref="B11:L11" si="1">IFERROR(B10/B7,0)</f>
        <v>0.35958483412322273</v>
      </c>
      <c r="C11" s="76">
        <f t="shared" si="1"/>
        <v>0.35956788553259145</v>
      </c>
      <c r="D11" s="76">
        <f t="shared" si="1"/>
        <v>0.3595418577230447</v>
      </c>
      <c r="E11" s="76">
        <f t="shared" si="1"/>
        <v>0.35954359107420858</v>
      </c>
      <c r="F11" s="76">
        <f t="shared" si="1"/>
        <v>0</v>
      </c>
      <c r="G11" s="76">
        <f t="shared" si="1"/>
        <v>0</v>
      </c>
      <c r="H11" s="76">
        <f t="shared" si="1"/>
        <v>0</v>
      </c>
      <c r="I11" s="76">
        <f t="shared" si="1"/>
        <v>0</v>
      </c>
      <c r="J11" s="76">
        <f t="shared" si="1"/>
        <v>0</v>
      </c>
      <c r="K11" s="76">
        <f t="shared" si="1"/>
        <v>0</v>
      </c>
      <c r="L11" s="91">
        <f t="shared" si="1"/>
        <v>0.35955447547339436</v>
      </c>
      <c r="M11" s="85">
        <f>IFERROR(L10/L7,0)</f>
        <v>0.35955447547339436</v>
      </c>
    </row>
    <row r="12" spans="1:13" ht="15" customHeight="1" x14ac:dyDescent="0.2">
      <c r="L12" s="89"/>
    </row>
    <row r="13" spans="1:13" ht="15" customHeight="1" x14ac:dyDescent="0.2">
      <c r="A13" s="77" t="s">
        <v>110</v>
      </c>
      <c r="B13" s="78">
        <f t="shared" ref="B13:K13" si="2">B7-B10</f>
        <v>88126.695652173919</v>
      </c>
      <c r="C13" s="78">
        <f t="shared" si="2"/>
        <v>87572.130434782594</v>
      </c>
      <c r="D13" s="78">
        <f t="shared" si="2"/>
        <v>212548.5652173913</v>
      </c>
      <c r="E13" s="78">
        <f t="shared" si="2"/>
        <v>107318.21739130435</v>
      </c>
      <c r="F13" s="78">
        <f t="shared" si="2"/>
        <v>0</v>
      </c>
      <c r="G13" s="78">
        <f t="shared" si="2"/>
        <v>0</v>
      </c>
      <c r="H13" s="78">
        <f t="shared" si="2"/>
        <v>0</v>
      </c>
      <c r="I13" s="78">
        <f t="shared" si="2"/>
        <v>0</v>
      </c>
      <c r="J13" s="78">
        <f t="shared" si="2"/>
        <v>0</v>
      </c>
      <c r="K13" s="78">
        <f t="shared" si="2"/>
        <v>0</v>
      </c>
      <c r="L13" s="88">
        <f>SUM(B13,C13,D13,E13,F13,G13,H13,I13,J13,K13)</f>
        <v>495565.6086956521</v>
      </c>
      <c r="M13" s="86">
        <f>IFERROR(L13/Setup!$H$6,0)</f>
        <v>21546.330812854438</v>
      </c>
    </row>
    <row r="14" spans="1:13" ht="15" customHeight="1" x14ac:dyDescent="0.2">
      <c r="A14" s="69" t="s">
        <v>111</v>
      </c>
      <c r="B14" s="76">
        <f t="shared" ref="B14:L14" si="3">IFERROR(B13/B7,0)</f>
        <v>0.64041516587677727</v>
      </c>
      <c r="C14" s="76">
        <f t="shared" si="3"/>
        <v>0.64043211446740855</v>
      </c>
      <c r="D14" s="76">
        <f t="shared" si="3"/>
        <v>0.6404581422769553</v>
      </c>
      <c r="E14" s="76">
        <f t="shared" si="3"/>
        <v>0.64045640892579137</v>
      </c>
      <c r="F14" s="76">
        <f t="shared" si="3"/>
        <v>0</v>
      </c>
      <c r="G14" s="76">
        <f t="shared" si="3"/>
        <v>0</v>
      </c>
      <c r="H14" s="76">
        <f t="shared" si="3"/>
        <v>0</v>
      </c>
      <c r="I14" s="76">
        <f t="shared" si="3"/>
        <v>0</v>
      </c>
      <c r="J14" s="76">
        <f t="shared" si="3"/>
        <v>0</v>
      </c>
      <c r="K14" s="76">
        <f t="shared" si="3"/>
        <v>0</v>
      </c>
      <c r="L14" s="91">
        <f t="shared" si="3"/>
        <v>0.64044552452660553</v>
      </c>
      <c r="M14" s="85">
        <f>IFERROR(L13/L7,0)</f>
        <v>0.64044552452660553</v>
      </c>
    </row>
    <row r="15" spans="1:13" ht="15" customHeight="1" x14ac:dyDescent="0.2">
      <c r="L15" s="89"/>
    </row>
    <row r="16" spans="1:13" ht="15" customHeight="1" x14ac:dyDescent="0.2">
      <c r="A16" s="67" t="s">
        <v>112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90"/>
      <c r="M16" s="68"/>
    </row>
    <row r="17" spans="1:13" ht="15" customHeight="1" x14ac:dyDescent="0.2">
      <c r="A17" s="75" t="s">
        <v>113</v>
      </c>
      <c r="B17" s="49">
        <f>IF(Setup!J9="",0,Setup!J9)</f>
        <v>0</v>
      </c>
      <c r="C17" s="49">
        <f>IF(Setup!J10="",0,Setup!J10)</f>
        <v>0</v>
      </c>
      <c r="D17" s="49">
        <f>IF(Setup!J11="",0,Setup!J11)</f>
        <v>0</v>
      </c>
      <c r="E17" s="49">
        <f>IF(Setup!J12="",0,Setup!J12)</f>
        <v>0</v>
      </c>
      <c r="F17" s="49">
        <f>IF(Setup!J13="",0,Setup!J13)</f>
        <v>0</v>
      </c>
      <c r="G17" s="49">
        <f>IF(Setup!J14="",0,Setup!J14)</f>
        <v>0</v>
      </c>
      <c r="H17" s="49">
        <f>IF(Setup!J15="",0,Setup!J15)</f>
        <v>0</v>
      </c>
      <c r="I17" s="49">
        <f>IF(Setup!J16="",0,Setup!J16)</f>
        <v>0</v>
      </c>
      <c r="J17" s="49">
        <f>IF(Setup!J18="",0,Setup!J18)</f>
        <v>0</v>
      </c>
      <c r="K17" s="49">
        <f>IF(Setup!J19="",0,Setup!J19)</f>
        <v>0</v>
      </c>
      <c r="L17" s="87">
        <f>SUM(B17,C17,D17,E17,F17,G17,H17,I17,J17,K17)</f>
        <v>0</v>
      </c>
      <c r="M17" s="84">
        <f>IFERROR(L17/Setup!$H$6,0)</f>
        <v>0</v>
      </c>
    </row>
    <row r="18" spans="1:13" ht="15" customHeight="1" x14ac:dyDescent="0.2">
      <c r="A18" s="75" t="s">
        <v>114</v>
      </c>
      <c r="B18" s="49">
        <f>IF(Setup!K9="",0,Setup!K9)</f>
        <v>0</v>
      </c>
      <c r="C18" s="49">
        <f>IF(Setup!K10="",0,Setup!K10)</f>
        <v>0</v>
      </c>
      <c r="D18" s="49">
        <f>IF(Setup!K11="",0,Setup!K11)</f>
        <v>0</v>
      </c>
      <c r="E18" s="49">
        <f>IF(Setup!K12="",0,Setup!K12)</f>
        <v>0</v>
      </c>
      <c r="F18" s="49">
        <f>IF(Setup!K13="",0,Setup!K13)</f>
        <v>0</v>
      </c>
      <c r="G18" s="49">
        <f>IF(Setup!K14="",0,Setup!K14)</f>
        <v>0</v>
      </c>
      <c r="H18" s="49">
        <f>IF(Setup!K15="",0,Setup!K15)</f>
        <v>0</v>
      </c>
      <c r="I18" s="49">
        <f>IF(Setup!K16="",0,Setup!K16)</f>
        <v>0</v>
      </c>
      <c r="J18" s="49">
        <f>IF(Setup!K18="",0,Setup!K18)</f>
        <v>0</v>
      </c>
      <c r="K18" s="49">
        <f>IF(Setup!K19="",0,Setup!K19)</f>
        <v>0</v>
      </c>
      <c r="L18" s="87">
        <f>SUM(B18,C18,D18,E18,F18,G18,H18,I18,J18,K18)</f>
        <v>0</v>
      </c>
      <c r="M18" s="84">
        <f>IFERROR(L18/Setup!$H$6,0)</f>
        <v>0</v>
      </c>
    </row>
    <row r="19" spans="1:13" ht="15" customHeight="1" x14ac:dyDescent="0.2">
      <c r="A19" s="75" t="s">
        <v>115</v>
      </c>
      <c r="B19" s="49">
        <f>IF(Setup!L9="",0,Setup!L9)</f>
        <v>50000</v>
      </c>
      <c r="C19" s="49">
        <f>IF(Setup!L10="",0,Setup!L10)</f>
        <v>50000</v>
      </c>
      <c r="D19" s="49">
        <f>IF(Setup!L11="",0,Setup!L11)</f>
        <v>75000</v>
      </c>
      <c r="E19" s="49">
        <f>IF(Setup!L12="",0,Setup!L12)</f>
        <v>60000</v>
      </c>
      <c r="F19" s="49">
        <f>IF(Setup!L13="",0,Setup!L13)</f>
        <v>0</v>
      </c>
      <c r="G19" s="49">
        <f>IF(Setup!L14="",0,Setup!L14)</f>
        <v>0</v>
      </c>
      <c r="H19" s="49">
        <f>IF(Setup!L15="",0,Setup!L15)</f>
        <v>0</v>
      </c>
      <c r="I19" s="49">
        <f>IF(Setup!L16="",0,Setup!L16)</f>
        <v>0</v>
      </c>
      <c r="J19" s="49">
        <f>IF(Setup!L18="",0,Setup!L18)</f>
        <v>0</v>
      </c>
      <c r="K19" s="49">
        <f>IF(Setup!L19="",0,Setup!L19)</f>
        <v>0</v>
      </c>
      <c r="L19" s="87">
        <f>SUM(B19,C19,D19,E19,F19,G19,H19,I19,J19,K19)</f>
        <v>235000</v>
      </c>
      <c r="M19" s="84">
        <f>IFERROR(L19/Setup!$H$6,0)</f>
        <v>10217.391304347826</v>
      </c>
    </row>
    <row r="20" spans="1:13" ht="15" customHeight="1" x14ac:dyDescent="0.2">
      <c r="A20" s="75" t="s">
        <v>116</v>
      </c>
      <c r="B20" s="49">
        <f>IFERROR(B5*Setup!M9,0)</f>
        <v>5064</v>
      </c>
      <c r="C20" s="49">
        <f>IFERROR(C5*Setup!M10,0)</f>
        <v>5032</v>
      </c>
      <c r="D20" s="49">
        <f>IFERROR(D5*Setup!M11,0)</f>
        <v>12212.800000000001</v>
      </c>
      <c r="E20" s="49">
        <f>IFERROR(E5*Setup!M12,0)</f>
        <v>6166.4000000000005</v>
      </c>
      <c r="F20" s="49">
        <f>IFERROR(F5*Setup!M13,0)</f>
        <v>0</v>
      </c>
      <c r="G20" s="49">
        <f>IFERROR(G5*Setup!M14,0)</f>
        <v>0</v>
      </c>
      <c r="H20" s="49">
        <f>IFERROR(H5*Setup!M15,0)</f>
        <v>0</v>
      </c>
      <c r="I20" s="49">
        <f>IFERROR(I5*Setup!M16,0)</f>
        <v>0</v>
      </c>
      <c r="J20" s="49">
        <f>IFERROR(J5*Setup!M18,0)</f>
        <v>0</v>
      </c>
      <c r="K20" s="49">
        <f>IFERROR(K5*Setup!M19,0)</f>
        <v>0</v>
      </c>
      <c r="L20" s="87">
        <f>SUM(B20,C20,D20,E20,F20,G20,H20,I20,J20,K20)</f>
        <v>28475.200000000004</v>
      </c>
      <c r="M20" s="84">
        <f>IFERROR(L20/Setup!$H$6,0)</f>
        <v>1238.0521739130436</v>
      </c>
    </row>
    <row r="21" spans="1:13" ht="15" customHeight="1" x14ac:dyDescent="0.2">
      <c r="L21" s="89"/>
    </row>
    <row r="22" spans="1:13" ht="15" customHeight="1" x14ac:dyDescent="0.2">
      <c r="A22" s="73" t="s">
        <v>117</v>
      </c>
      <c r="B22" s="74">
        <f t="shared" ref="B22:K22" si="4">SUM(B17:B20)</f>
        <v>55064</v>
      </c>
      <c r="C22" s="74">
        <f t="shared" si="4"/>
        <v>55032</v>
      </c>
      <c r="D22" s="74">
        <f t="shared" si="4"/>
        <v>87212.800000000003</v>
      </c>
      <c r="E22" s="74">
        <f t="shared" si="4"/>
        <v>66166.399999999994</v>
      </c>
      <c r="F22" s="74">
        <f t="shared" si="4"/>
        <v>0</v>
      </c>
      <c r="G22" s="74">
        <f t="shared" si="4"/>
        <v>0</v>
      </c>
      <c r="H22" s="74">
        <f t="shared" si="4"/>
        <v>0</v>
      </c>
      <c r="I22" s="74">
        <f t="shared" si="4"/>
        <v>0</v>
      </c>
      <c r="J22" s="74">
        <f t="shared" si="4"/>
        <v>0</v>
      </c>
      <c r="K22" s="74">
        <f t="shared" si="4"/>
        <v>0</v>
      </c>
      <c r="L22" s="88">
        <f>SUM(B22,C22,D22,E22,F22,G22,H22,I22,J22,K22)</f>
        <v>263475.19999999995</v>
      </c>
      <c r="M22" s="84">
        <f>IFERROR(L22/Setup!$H$6,0)</f>
        <v>11455.443478260868</v>
      </c>
    </row>
    <row r="23" spans="1:13" ht="15" customHeight="1" x14ac:dyDescent="0.2">
      <c r="A23" s="69" t="s">
        <v>118</v>
      </c>
      <c r="B23" s="76">
        <f t="shared" ref="B23:L23" si="5">IFERROR(B22/B7,0)</f>
        <v>0.40014913112164296</v>
      </c>
      <c r="C23" s="76">
        <f t="shared" si="5"/>
        <v>0.40245977742448336</v>
      </c>
      <c r="D23" s="76">
        <f t="shared" si="5"/>
        <v>0.26279240141490895</v>
      </c>
      <c r="E23" s="76">
        <f t="shared" si="5"/>
        <v>0.39486953814218989</v>
      </c>
      <c r="F23" s="76">
        <f t="shared" si="5"/>
        <v>0</v>
      </c>
      <c r="G23" s="76">
        <f t="shared" si="5"/>
        <v>0</v>
      </c>
      <c r="H23" s="76">
        <f t="shared" si="5"/>
        <v>0</v>
      </c>
      <c r="I23" s="76">
        <f t="shared" si="5"/>
        <v>0</v>
      </c>
      <c r="J23" s="76">
        <f t="shared" si="5"/>
        <v>0</v>
      </c>
      <c r="K23" s="76">
        <f t="shared" si="5"/>
        <v>0</v>
      </c>
      <c r="L23" s="91">
        <f t="shared" si="5"/>
        <v>0.34050287127043877</v>
      </c>
      <c r="M23" s="85">
        <f>IFERROR(L22/L7,0)</f>
        <v>0.34050287127043877</v>
      </c>
    </row>
    <row r="24" spans="1:13" ht="15" customHeight="1" x14ac:dyDescent="0.2">
      <c r="L24" s="89"/>
    </row>
    <row r="25" spans="1:13" ht="15" customHeight="1" x14ac:dyDescent="0.2">
      <c r="A25" s="77" t="s">
        <v>119</v>
      </c>
      <c r="B25" s="78">
        <f t="shared" ref="B25:K25" si="6">B13-B22</f>
        <v>33062.695652173919</v>
      </c>
      <c r="C25" s="78">
        <f t="shared" si="6"/>
        <v>32540.130434782594</v>
      </c>
      <c r="D25" s="78">
        <f t="shared" si="6"/>
        <v>125335.76521739129</v>
      </c>
      <c r="E25" s="78">
        <f t="shared" si="6"/>
        <v>41151.817391304357</v>
      </c>
      <c r="F25" s="78">
        <f t="shared" si="6"/>
        <v>0</v>
      </c>
      <c r="G25" s="78">
        <f t="shared" si="6"/>
        <v>0</v>
      </c>
      <c r="H25" s="78">
        <f t="shared" si="6"/>
        <v>0</v>
      </c>
      <c r="I25" s="78">
        <f t="shared" si="6"/>
        <v>0</v>
      </c>
      <c r="J25" s="78">
        <f t="shared" si="6"/>
        <v>0</v>
      </c>
      <c r="K25" s="78">
        <f t="shared" si="6"/>
        <v>0</v>
      </c>
      <c r="L25" s="88">
        <f>SUM(B25,C25,D25,E25,F25,G25,H25,I25,J25,K25)</f>
        <v>232090.40869565215</v>
      </c>
      <c r="M25" s="84">
        <f>IFERROR(L25/Setup!$H$6,0)</f>
        <v>10090.887334593572</v>
      </c>
    </row>
    <row r="26" spans="1:13" ht="15" customHeight="1" x14ac:dyDescent="0.2">
      <c r="A26" s="69" t="s">
        <v>120</v>
      </c>
      <c r="B26" s="76">
        <f t="shared" ref="B26:L26" si="7">IFERROR(B25/B7,0)</f>
        <v>0.24026603475513431</v>
      </c>
      <c r="C26" s="76">
        <f t="shared" si="7"/>
        <v>0.2379723370429252</v>
      </c>
      <c r="D26" s="76">
        <f t="shared" si="7"/>
        <v>0.37766574086204635</v>
      </c>
      <c r="E26" s="76">
        <f t="shared" si="7"/>
        <v>0.2455868707836015</v>
      </c>
      <c r="F26" s="76">
        <f t="shared" si="7"/>
        <v>0</v>
      </c>
      <c r="G26" s="76">
        <f t="shared" si="7"/>
        <v>0</v>
      </c>
      <c r="H26" s="76">
        <f t="shared" si="7"/>
        <v>0</v>
      </c>
      <c r="I26" s="76">
        <f t="shared" si="7"/>
        <v>0</v>
      </c>
      <c r="J26" s="76">
        <f t="shared" si="7"/>
        <v>0</v>
      </c>
      <c r="K26" s="76">
        <f t="shared" si="7"/>
        <v>0</v>
      </c>
      <c r="L26" s="91">
        <f t="shared" si="7"/>
        <v>0.2999426532561667</v>
      </c>
      <c r="M26" s="85">
        <f>IFERROR(L25/L7,0)</f>
        <v>0.2999426532561667</v>
      </c>
    </row>
    <row r="27" spans="1:13" ht="15" customHeight="1" x14ac:dyDescent="0.2">
      <c r="L27" s="89"/>
    </row>
    <row r="28" spans="1:13" ht="15" customHeight="1" x14ac:dyDescent="0.2">
      <c r="A28" s="67" t="s">
        <v>121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90"/>
      <c r="M28" s="68"/>
    </row>
    <row r="29" spans="1:13" ht="15" customHeight="1" x14ac:dyDescent="0.2">
      <c r="A29" s="77" t="str">
        <f>Setup!L5&amp;" Share ("&amp;TEXT(Setup!N5,"0%")&amp;")"</f>
        <v>Artist Share (70%)</v>
      </c>
      <c r="B29" s="78">
        <f>B25*Setup!$N$5</f>
        <v>23143.886956521743</v>
      </c>
      <c r="C29" s="78">
        <f>C25*Setup!$N$5</f>
        <v>22778.091304347814</v>
      </c>
      <c r="D29" s="78">
        <f>D25*Setup!$N$5</f>
        <v>87735.035652173901</v>
      </c>
      <c r="E29" s="78">
        <f>E25*Setup!$N$5</f>
        <v>28806.272173913047</v>
      </c>
      <c r="F29" s="78">
        <f>F25*Setup!$N$5</f>
        <v>0</v>
      </c>
      <c r="G29" s="78">
        <f>G25*Setup!$N$5</f>
        <v>0</v>
      </c>
      <c r="H29" s="78">
        <f>H25*Setup!$N$5</f>
        <v>0</v>
      </c>
      <c r="I29" s="78">
        <f>I25*Setup!$N$5</f>
        <v>0</v>
      </c>
      <c r="J29" s="78">
        <f>J25*Setup!$N$5</f>
        <v>0</v>
      </c>
      <c r="K29" s="78">
        <f>K25*Setup!$N$5</f>
        <v>0</v>
      </c>
      <c r="L29" s="88">
        <f>SUM(B29,C29,D29,E29,F29,G29,H29,I29,J29,K29)</f>
        <v>162463.2860869565</v>
      </c>
      <c r="M29" s="84">
        <f>IFERROR(L29/Setup!$H$6,0)</f>
        <v>7063.6211342155002</v>
      </c>
    </row>
    <row r="30" spans="1:13" ht="15" customHeight="1" x14ac:dyDescent="0.2">
      <c r="A30" s="77" t="str">
        <f>Setup!L6&amp;" Share ("&amp;TEXT(Setup!N6,"0%")&amp;")"</f>
        <v>Promoter Share (30%)</v>
      </c>
      <c r="B30" s="78">
        <f>B25*Setup!$N$6</f>
        <v>9918.8086956521747</v>
      </c>
      <c r="C30" s="78">
        <f>C25*Setup!$N$6</f>
        <v>9762.0391304347777</v>
      </c>
      <c r="D30" s="78">
        <f>D25*Setup!$N$6</f>
        <v>37600.729565217385</v>
      </c>
      <c r="E30" s="78">
        <f>E25*Setup!$N$6</f>
        <v>12345.545217391307</v>
      </c>
      <c r="F30" s="78">
        <f>F25*Setup!$N$6</f>
        <v>0</v>
      </c>
      <c r="G30" s="78">
        <f>G25*Setup!$N$6</f>
        <v>0</v>
      </c>
      <c r="H30" s="78">
        <f>H25*Setup!$N$6</f>
        <v>0</v>
      </c>
      <c r="I30" s="78">
        <f>I25*Setup!$N$6</f>
        <v>0</v>
      </c>
      <c r="J30" s="78">
        <f>J25*Setup!$N$6</f>
        <v>0</v>
      </c>
      <c r="K30" s="78">
        <f>K25*Setup!$N$6</f>
        <v>0</v>
      </c>
      <c r="L30" s="88">
        <f>SUM(B30,C30,D30,E30,F30,G30,H30,I30,J30,K30)</f>
        <v>69627.122608695645</v>
      </c>
      <c r="M30" s="84">
        <f>IFERROR(L30/Setup!$H$6,0)</f>
        <v>3027.2662003780715</v>
      </c>
    </row>
    <row r="31" spans="1:13" ht="15" customHeight="1" x14ac:dyDescent="0.2">
      <c r="L31" s="89"/>
    </row>
    <row r="32" spans="1:13" ht="15" customHeight="1" x14ac:dyDescent="0.2">
      <c r="A32" s="73" t="s">
        <v>122</v>
      </c>
      <c r="B32" s="74">
        <f t="shared" ref="B32:K32" si="8">B10+B22</f>
        <v>104546</v>
      </c>
      <c r="C32" s="74">
        <f t="shared" si="8"/>
        <v>104199</v>
      </c>
      <c r="D32" s="74">
        <f t="shared" si="8"/>
        <v>206533.8</v>
      </c>
      <c r="E32" s="74">
        <f t="shared" si="8"/>
        <v>126413.4</v>
      </c>
      <c r="F32" s="74">
        <f t="shared" si="8"/>
        <v>0</v>
      </c>
      <c r="G32" s="74">
        <f t="shared" si="8"/>
        <v>0</v>
      </c>
      <c r="H32" s="74">
        <f t="shared" si="8"/>
        <v>0</v>
      </c>
      <c r="I32" s="74">
        <f t="shared" si="8"/>
        <v>0</v>
      </c>
      <c r="J32" s="74">
        <f t="shared" si="8"/>
        <v>0</v>
      </c>
      <c r="K32" s="74">
        <f t="shared" si="8"/>
        <v>0</v>
      </c>
      <c r="L32" s="88">
        <f>SUM(B32,C32,D32,E32,F32,G32,H32,I32,J32,K32)</f>
        <v>541692.19999999995</v>
      </c>
      <c r="M32" s="84">
        <f>IFERROR(L32/Setup!$H$6,0)</f>
        <v>23551.834782608694</v>
      </c>
    </row>
    <row r="33" spans="1:13" ht="15" customHeight="1" x14ac:dyDescent="0.2">
      <c r="A33" s="69" t="s">
        <v>123</v>
      </c>
      <c r="B33" s="76">
        <f t="shared" ref="B33:L33" si="9">IFERROR(B32/B7,0)</f>
        <v>0.75973396524486569</v>
      </c>
      <c r="C33" s="76">
        <f t="shared" si="9"/>
        <v>0.7620276629570748</v>
      </c>
      <c r="D33" s="76">
        <f t="shared" si="9"/>
        <v>0.62233425913795359</v>
      </c>
      <c r="E33" s="76">
        <f t="shared" si="9"/>
        <v>0.75441312921639847</v>
      </c>
      <c r="F33" s="76">
        <f t="shared" si="9"/>
        <v>0</v>
      </c>
      <c r="G33" s="76">
        <f t="shared" si="9"/>
        <v>0</v>
      </c>
      <c r="H33" s="76">
        <f t="shared" si="9"/>
        <v>0</v>
      </c>
      <c r="I33" s="76">
        <f t="shared" si="9"/>
        <v>0</v>
      </c>
      <c r="J33" s="76">
        <f t="shared" si="9"/>
        <v>0</v>
      </c>
      <c r="K33" s="76">
        <f t="shared" si="9"/>
        <v>0</v>
      </c>
      <c r="L33" s="91">
        <f t="shared" si="9"/>
        <v>0.70005734674383313</v>
      </c>
      <c r="M33" s="85">
        <f>IFERROR(L32/L7,0)</f>
        <v>0.70005734674383313</v>
      </c>
    </row>
    <row r="36" spans="1:13" ht="15" customHeight="1" x14ac:dyDescent="0.2">
      <c r="A36" s="100" t="s">
        <v>124</v>
      </c>
      <c r="B36" s="93"/>
      <c r="C36" s="93"/>
    </row>
    <row r="37" spans="1:13" ht="15" customHeight="1" x14ac:dyDescent="0.2">
      <c r="A37" s="2" t="s">
        <v>125</v>
      </c>
      <c r="B37" s="79">
        <f>COUNTA(Setup!C9:C16)</f>
        <v>4</v>
      </c>
    </row>
    <row r="38" spans="1:13" ht="15" customHeight="1" x14ac:dyDescent="0.2">
      <c r="A38" s="2" t="s">
        <v>126</v>
      </c>
      <c r="B38" s="79">
        <f>COUNTA(Setup!C18:C19)</f>
        <v>0</v>
      </c>
    </row>
    <row r="39" spans="1:13" ht="15" customHeight="1" x14ac:dyDescent="0.2">
      <c r="A39" s="2" t="s">
        <v>127</v>
      </c>
      <c r="B39" s="79">
        <f>SUM(Setup!F9:F16)+SUM(Setup!F18:F19)</f>
        <v>24404</v>
      </c>
    </row>
    <row r="40" spans="1:13" ht="15" customHeight="1" x14ac:dyDescent="0.2">
      <c r="A40" s="2" t="s">
        <v>128</v>
      </c>
      <c r="B40" s="79">
        <f>SUM(Setup!G9:G16)+SUM(Setup!G18:G19)</f>
        <v>8</v>
      </c>
    </row>
    <row r="41" spans="1:13" ht="15" customHeight="1" x14ac:dyDescent="0.2">
      <c r="A41" s="2" t="s">
        <v>129</v>
      </c>
      <c r="B41" s="80">
        <f>IFERROR(AVERAGEIF(Setup!H9:H16,"&lt;&gt;"),0)</f>
        <v>35</v>
      </c>
    </row>
    <row r="42" spans="1:13" ht="15" customHeight="1" x14ac:dyDescent="0.2">
      <c r="A42" s="2" t="s">
        <v>130</v>
      </c>
      <c r="B42" s="80">
        <f>SUM(Setup!I9:I16)+SUM(Setup!I18:I19)</f>
        <v>886370</v>
      </c>
    </row>
    <row r="43" spans="1:13" ht="15" customHeight="1" x14ac:dyDescent="0.2">
      <c r="A43" s="2" t="s">
        <v>131</v>
      </c>
      <c r="B43" s="81">
        <f>Setup!B6</f>
        <v>0.15</v>
      </c>
    </row>
    <row r="44" spans="1:13" ht="15" customHeight="1" x14ac:dyDescent="0.2">
      <c r="A44" s="2" t="s">
        <v>132</v>
      </c>
      <c r="B44" s="79">
        <f>COUNTA(Setup!B26:B40)</f>
        <v>5</v>
      </c>
    </row>
  </sheetData>
  <mergeCells count="3">
    <mergeCell ref="A2:M2"/>
    <mergeCell ref="A36:C36"/>
    <mergeCell ref="A1:M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96C1B5EE88CE4AA2B0DC65B7E8E95C" ma:contentTypeVersion="10" ma:contentTypeDescription="Create a new document." ma:contentTypeScope="" ma:versionID="d9185507e734299f3e81c0c8968a00a1">
  <xsd:schema xmlns:xsd="http://www.w3.org/2001/XMLSchema" xmlns:xs="http://www.w3.org/2001/XMLSchema" xmlns:p="http://schemas.microsoft.com/office/2006/metadata/properties" xmlns:ns2="c450fd09-93ba-442b-868d-54d5df55bc9f" xmlns:ns3="caf6baf7-21cf-4f5c-94f1-e838d74660a9" targetNamespace="http://schemas.microsoft.com/office/2006/metadata/properties" ma:root="true" ma:fieldsID="ed6dc978d84c8233e60e5ca8a5be8273" ns2:_="" ns3:_="">
    <xsd:import namespace="c450fd09-93ba-442b-868d-54d5df55bc9f"/>
    <xsd:import namespace="caf6baf7-21cf-4f5c-94f1-e838d74660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0fd09-93ba-442b-868d-54d5df55bc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012cb81-150a-427f-aab0-8d982b5292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6baf7-21cf-4f5c-94f1-e838d74660a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6475de5-92ba-40e5-82b8-3c3d4f60e28d}" ma:internalName="TaxCatchAll" ma:showField="CatchAllData" ma:web="caf6baf7-21cf-4f5c-94f1-e838d74660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50fd09-93ba-442b-868d-54d5df55bc9f">
      <Terms xmlns="http://schemas.microsoft.com/office/infopath/2007/PartnerControls"/>
    </lcf76f155ced4ddcb4097134ff3c332f>
    <TaxCatchAll xmlns="caf6baf7-21cf-4f5c-94f1-e838d74660a9" xsi:nil="true"/>
  </documentManagement>
</p:properties>
</file>

<file path=customXml/itemProps1.xml><?xml version="1.0" encoding="utf-8"?>
<ds:datastoreItem xmlns:ds="http://schemas.openxmlformats.org/officeDocument/2006/customXml" ds:itemID="{351C54CB-A926-41B8-BAC0-0DD9961D7F30}"/>
</file>

<file path=customXml/itemProps2.xml><?xml version="1.0" encoding="utf-8"?>
<ds:datastoreItem xmlns:ds="http://schemas.openxmlformats.org/officeDocument/2006/customXml" ds:itemID="{3DD6F109-34AD-4BBE-BB73-804BE40D0891}"/>
</file>

<file path=customXml/itemProps3.xml><?xml version="1.0" encoding="utf-8"?>
<ds:datastoreItem xmlns:ds="http://schemas.openxmlformats.org/officeDocument/2006/customXml" ds:itemID="{F7828FA8-521B-47F4-914A-C22EA3D7B1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Sales per event</vt:lpstr>
      <vt:lpstr>P&amp;L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van Wyk</cp:lastModifiedBy>
  <cp:revision>0</cp:revision>
  <dcterms:created xsi:type="dcterms:W3CDTF">2026-02-17T12:21:36Z</dcterms:created>
  <dcterms:modified xsi:type="dcterms:W3CDTF">2026-05-26T10:11:15Z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0x0101001796C1B5EE88CE4AA2B0DC65B7E8E95C</vt:lpwstr>
  </property>
</Properties>
</file>